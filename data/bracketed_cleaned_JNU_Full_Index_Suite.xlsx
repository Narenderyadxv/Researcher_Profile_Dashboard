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ternship\please be fina;\bracket\"/>
    </mc:Choice>
  </mc:AlternateContent>
  <xr:revisionPtr revIDLastSave="0" documentId="13_ncr:1_{7F63B270-6181-430A-9C05-562FFDA6C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Jawaharlal Nehru University" sheetId="2" r:id="rId2"/>
  </sheets>
  <definedNames>
    <definedName name="_xlnm._FilterDatabase" localSheetId="0" hidden="1">All!$A$1:$AH$379</definedName>
    <definedName name="_xlnm._FilterDatabase" localSheetId="1" hidden="1">'Jawaharlal Nehru University'!$A$1:$AG$379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2" i="1"/>
  <c r="AA379" i="2"/>
  <c r="Z379" i="2"/>
  <c r="X379" i="2"/>
  <c r="V379" i="2"/>
  <c r="R379" i="2"/>
  <c r="K379" i="2"/>
  <c r="O379" i="2" s="1"/>
  <c r="P379" i="2" s="1"/>
  <c r="AA378" i="2"/>
  <c r="Z378" i="2"/>
  <c r="X378" i="2"/>
  <c r="V378" i="2"/>
  <c r="R378" i="2"/>
  <c r="K378" i="2"/>
  <c r="O378" i="2" s="1"/>
  <c r="P378" i="2" s="1"/>
  <c r="AA377" i="2"/>
  <c r="Z377" i="2"/>
  <c r="X377" i="2"/>
  <c r="V377" i="2"/>
  <c r="R377" i="2"/>
  <c r="K377" i="2"/>
  <c r="O377" i="2" s="1"/>
  <c r="P377" i="2" s="1"/>
  <c r="AA376" i="2"/>
  <c r="Z376" i="2"/>
  <c r="X376" i="2"/>
  <c r="V376" i="2"/>
  <c r="R376" i="2"/>
  <c r="K376" i="2"/>
  <c r="O376" i="2" s="1"/>
  <c r="P376" i="2" s="1"/>
  <c r="AA375" i="2"/>
  <c r="Z375" i="2"/>
  <c r="X375" i="2"/>
  <c r="V375" i="2"/>
  <c r="R375" i="2"/>
  <c r="K375" i="2"/>
  <c r="O375" i="2" s="1"/>
  <c r="P375" i="2" s="1"/>
  <c r="AA374" i="2"/>
  <c r="Z374" i="2"/>
  <c r="X374" i="2"/>
  <c r="V374" i="2"/>
  <c r="R374" i="2"/>
  <c r="K374" i="2"/>
  <c r="O374" i="2" s="1"/>
  <c r="P374" i="2" s="1"/>
  <c r="AA373" i="2"/>
  <c r="Z373" i="2"/>
  <c r="X373" i="2"/>
  <c r="V373" i="2"/>
  <c r="R373" i="2"/>
  <c r="K373" i="2"/>
  <c r="O373" i="2" s="1"/>
  <c r="P373" i="2" s="1"/>
  <c r="AA372" i="2"/>
  <c r="Z372" i="2"/>
  <c r="X372" i="2"/>
  <c r="V372" i="2"/>
  <c r="R372" i="2"/>
  <c r="K372" i="2"/>
  <c r="O372" i="2" s="1"/>
  <c r="P372" i="2" s="1"/>
  <c r="AA371" i="2"/>
  <c r="Z371" i="2"/>
  <c r="X371" i="2"/>
  <c r="V371" i="2"/>
  <c r="R371" i="2"/>
  <c r="K371" i="2"/>
  <c r="O371" i="2" s="1"/>
  <c r="P371" i="2" s="1"/>
  <c r="AA370" i="2"/>
  <c r="Z370" i="2"/>
  <c r="X370" i="2"/>
  <c r="V370" i="2"/>
  <c r="R370" i="2"/>
  <c r="K370" i="2"/>
  <c r="O370" i="2" s="1"/>
  <c r="P370" i="2" s="1"/>
  <c r="AA369" i="2"/>
  <c r="Z369" i="2"/>
  <c r="X369" i="2"/>
  <c r="V369" i="2"/>
  <c r="R369" i="2"/>
  <c r="K369" i="2"/>
  <c r="O369" i="2" s="1"/>
  <c r="P369" i="2" s="1"/>
  <c r="AA368" i="2"/>
  <c r="Z368" i="2"/>
  <c r="X368" i="2"/>
  <c r="V368" i="2"/>
  <c r="R368" i="2"/>
  <c r="K368" i="2"/>
  <c r="O368" i="2" s="1"/>
  <c r="P368" i="2" s="1"/>
  <c r="AA367" i="2"/>
  <c r="Z367" i="2"/>
  <c r="X367" i="2"/>
  <c r="V367" i="2"/>
  <c r="R367" i="2"/>
  <c r="K367" i="2"/>
  <c r="O367" i="2" s="1"/>
  <c r="P367" i="2" s="1"/>
  <c r="AA366" i="2"/>
  <c r="Z366" i="2"/>
  <c r="X366" i="2"/>
  <c r="V366" i="2"/>
  <c r="R366" i="2"/>
  <c r="K366" i="2"/>
  <c r="O366" i="2" s="1"/>
  <c r="P366" i="2" s="1"/>
  <c r="AA365" i="2"/>
  <c r="Z365" i="2"/>
  <c r="X365" i="2"/>
  <c r="V365" i="2"/>
  <c r="R365" i="2"/>
  <c r="K365" i="2"/>
  <c r="O365" i="2" s="1"/>
  <c r="P365" i="2" s="1"/>
  <c r="AA364" i="2"/>
  <c r="Z364" i="2"/>
  <c r="X364" i="2"/>
  <c r="V364" i="2"/>
  <c r="R364" i="2"/>
  <c r="K364" i="2"/>
  <c r="O364" i="2" s="1"/>
  <c r="P364" i="2" s="1"/>
  <c r="AA363" i="2"/>
  <c r="Z363" i="2"/>
  <c r="X363" i="2"/>
  <c r="V363" i="2"/>
  <c r="R363" i="2"/>
  <c r="K363" i="2"/>
  <c r="O363" i="2" s="1"/>
  <c r="P363" i="2" s="1"/>
  <c r="AA362" i="2"/>
  <c r="Z362" i="2"/>
  <c r="X362" i="2"/>
  <c r="V362" i="2"/>
  <c r="R362" i="2"/>
  <c r="K362" i="2"/>
  <c r="O362" i="2" s="1"/>
  <c r="P362" i="2" s="1"/>
  <c r="AA361" i="2"/>
  <c r="Z361" i="2"/>
  <c r="X361" i="2"/>
  <c r="V361" i="2"/>
  <c r="R361" i="2"/>
  <c r="K361" i="2"/>
  <c r="O361" i="2" s="1"/>
  <c r="P361" i="2" s="1"/>
  <c r="AA360" i="2"/>
  <c r="Z360" i="2"/>
  <c r="X360" i="2"/>
  <c r="V360" i="2"/>
  <c r="R360" i="2"/>
  <c r="K360" i="2"/>
  <c r="O360" i="2" s="1"/>
  <c r="P360" i="2" s="1"/>
  <c r="AA359" i="2"/>
  <c r="Z359" i="2"/>
  <c r="X359" i="2"/>
  <c r="V359" i="2"/>
  <c r="R359" i="2"/>
  <c r="K359" i="2"/>
  <c r="O359" i="2" s="1"/>
  <c r="P359" i="2" s="1"/>
  <c r="AA358" i="2"/>
  <c r="Z358" i="2"/>
  <c r="X358" i="2"/>
  <c r="V358" i="2"/>
  <c r="R358" i="2"/>
  <c r="K358" i="2"/>
  <c r="O358" i="2" s="1"/>
  <c r="P358" i="2" s="1"/>
  <c r="AA357" i="2"/>
  <c r="Z357" i="2"/>
  <c r="X357" i="2"/>
  <c r="V357" i="2"/>
  <c r="R357" i="2"/>
  <c r="K357" i="2"/>
  <c r="O357" i="2" s="1"/>
  <c r="P357" i="2" s="1"/>
  <c r="AA356" i="2"/>
  <c r="Z356" i="2"/>
  <c r="X356" i="2"/>
  <c r="V356" i="2"/>
  <c r="R356" i="2"/>
  <c r="K356" i="2"/>
  <c r="O356" i="2" s="1"/>
  <c r="P356" i="2" s="1"/>
  <c r="AA355" i="2"/>
  <c r="Z355" i="2"/>
  <c r="X355" i="2"/>
  <c r="V355" i="2"/>
  <c r="R355" i="2"/>
  <c r="K355" i="2"/>
  <c r="O355" i="2" s="1"/>
  <c r="P355" i="2" s="1"/>
  <c r="AA354" i="2"/>
  <c r="Z354" i="2"/>
  <c r="X354" i="2"/>
  <c r="V354" i="2"/>
  <c r="R354" i="2"/>
  <c r="K354" i="2"/>
  <c r="O354" i="2" s="1"/>
  <c r="P354" i="2" s="1"/>
  <c r="AA353" i="2"/>
  <c r="Z353" i="2"/>
  <c r="X353" i="2"/>
  <c r="V353" i="2"/>
  <c r="R353" i="2"/>
  <c r="K353" i="2"/>
  <c r="O353" i="2" s="1"/>
  <c r="P353" i="2" s="1"/>
  <c r="AA352" i="2"/>
  <c r="Z352" i="2"/>
  <c r="X352" i="2"/>
  <c r="V352" i="2"/>
  <c r="R352" i="2"/>
  <c r="K352" i="2"/>
  <c r="O352" i="2" s="1"/>
  <c r="P352" i="2" s="1"/>
  <c r="AA351" i="2"/>
  <c r="Z351" i="2"/>
  <c r="X351" i="2"/>
  <c r="V351" i="2"/>
  <c r="R351" i="2"/>
  <c r="K351" i="2"/>
  <c r="O351" i="2" s="1"/>
  <c r="P351" i="2" s="1"/>
  <c r="AA350" i="2"/>
  <c r="Z350" i="2"/>
  <c r="X350" i="2"/>
  <c r="V350" i="2"/>
  <c r="R350" i="2"/>
  <c r="K350" i="2"/>
  <c r="O350" i="2" s="1"/>
  <c r="P350" i="2" s="1"/>
  <c r="AA349" i="2"/>
  <c r="Z349" i="2"/>
  <c r="X349" i="2"/>
  <c r="V349" i="2"/>
  <c r="R349" i="2"/>
  <c r="K349" i="2"/>
  <c r="O349" i="2" s="1"/>
  <c r="P349" i="2" s="1"/>
  <c r="AA348" i="2"/>
  <c r="Z348" i="2"/>
  <c r="X348" i="2"/>
  <c r="V348" i="2"/>
  <c r="R348" i="2"/>
  <c r="K348" i="2"/>
  <c r="O348" i="2" s="1"/>
  <c r="P348" i="2" s="1"/>
  <c r="AA347" i="2"/>
  <c r="Z347" i="2"/>
  <c r="X347" i="2"/>
  <c r="V347" i="2"/>
  <c r="R347" i="2"/>
  <c r="K347" i="2"/>
  <c r="O347" i="2" s="1"/>
  <c r="P347" i="2" s="1"/>
  <c r="AA346" i="2"/>
  <c r="Z346" i="2"/>
  <c r="X346" i="2"/>
  <c r="V346" i="2"/>
  <c r="R346" i="2"/>
  <c r="K346" i="2"/>
  <c r="O346" i="2" s="1"/>
  <c r="P346" i="2" s="1"/>
  <c r="AA345" i="2"/>
  <c r="Z345" i="2"/>
  <c r="X345" i="2"/>
  <c r="V345" i="2"/>
  <c r="R345" i="2"/>
  <c r="K345" i="2"/>
  <c r="O345" i="2" s="1"/>
  <c r="P345" i="2" s="1"/>
  <c r="AA344" i="2"/>
  <c r="Z344" i="2"/>
  <c r="X344" i="2"/>
  <c r="V344" i="2"/>
  <c r="R344" i="2"/>
  <c r="K344" i="2"/>
  <c r="O344" i="2" s="1"/>
  <c r="P344" i="2" s="1"/>
  <c r="AA343" i="2"/>
  <c r="Z343" i="2"/>
  <c r="X343" i="2"/>
  <c r="V343" i="2"/>
  <c r="R343" i="2"/>
  <c r="K343" i="2"/>
  <c r="O343" i="2" s="1"/>
  <c r="P343" i="2" s="1"/>
  <c r="AA342" i="2"/>
  <c r="Z342" i="2"/>
  <c r="X342" i="2"/>
  <c r="V342" i="2"/>
  <c r="R342" i="2"/>
  <c r="K342" i="2"/>
  <c r="O342" i="2" s="1"/>
  <c r="P342" i="2" s="1"/>
  <c r="AA341" i="2"/>
  <c r="Z341" i="2"/>
  <c r="X341" i="2"/>
  <c r="V341" i="2"/>
  <c r="R341" i="2"/>
  <c r="K341" i="2"/>
  <c r="O341" i="2" s="1"/>
  <c r="P341" i="2" s="1"/>
  <c r="AA340" i="2"/>
  <c r="Z340" i="2"/>
  <c r="X340" i="2"/>
  <c r="V340" i="2"/>
  <c r="R340" i="2"/>
  <c r="K340" i="2"/>
  <c r="O340" i="2" s="1"/>
  <c r="P340" i="2" s="1"/>
  <c r="AA339" i="2"/>
  <c r="Z339" i="2"/>
  <c r="X339" i="2"/>
  <c r="V339" i="2"/>
  <c r="R339" i="2"/>
  <c r="K339" i="2"/>
  <c r="O339" i="2" s="1"/>
  <c r="P339" i="2" s="1"/>
  <c r="AA338" i="2"/>
  <c r="Z338" i="2"/>
  <c r="X338" i="2"/>
  <c r="V338" i="2"/>
  <c r="R338" i="2"/>
  <c r="K338" i="2"/>
  <c r="O338" i="2" s="1"/>
  <c r="P338" i="2" s="1"/>
  <c r="AA337" i="2"/>
  <c r="Z337" i="2"/>
  <c r="X337" i="2"/>
  <c r="V337" i="2"/>
  <c r="R337" i="2"/>
  <c r="K337" i="2"/>
  <c r="O337" i="2" s="1"/>
  <c r="P337" i="2" s="1"/>
  <c r="AA336" i="2"/>
  <c r="Z336" i="2"/>
  <c r="X336" i="2"/>
  <c r="V336" i="2"/>
  <c r="R336" i="2"/>
  <c r="K336" i="2"/>
  <c r="O336" i="2" s="1"/>
  <c r="P336" i="2" s="1"/>
  <c r="AA335" i="2"/>
  <c r="Z335" i="2"/>
  <c r="X335" i="2"/>
  <c r="V335" i="2"/>
  <c r="R335" i="2"/>
  <c r="K335" i="2"/>
  <c r="O335" i="2" s="1"/>
  <c r="P335" i="2" s="1"/>
  <c r="AA334" i="2"/>
  <c r="Z334" i="2"/>
  <c r="X334" i="2"/>
  <c r="V334" i="2"/>
  <c r="R334" i="2"/>
  <c r="K334" i="2"/>
  <c r="O334" i="2" s="1"/>
  <c r="P334" i="2" s="1"/>
  <c r="AA333" i="2"/>
  <c r="Z333" i="2"/>
  <c r="X333" i="2"/>
  <c r="V333" i="2"/>
  <c r="R333" i="2"/>
  <c r="K333" i="2"/>
  <c r="O333" i="2" s="1"/>
  <c r="P333" i="2" s="1"/>
  <c r="AA332" i="2"/>
  <c r="Z332" i="2"/>
  <c r="X332" i="2"/>
  <c r="V332" i="2"/>
  <c r="R332" i="2"/>
  <c r="K332" i="2"/>
  <c r="O332" i="2" s="1"/>
  <c r="P332" i="2" s="1"/>
  <c r="AA331" i="2"/>
  <c r="Z331" i="2"/>
  <c r="X331" i="2"/>
  <c r="V331" i="2"/>
  <c r="R331" i="2"/>
  <c r="K331" i="2"/>
  <c r="O331" i="2" s="1"/>
  <c r="P331" i="2" s="1"/>
  <c r="AA330" i="2"/>
  <c r="Z330" i="2"/>
  <c r="X330" i="2"/>
  <c r="V330" i="2"/>
  <c r="R330" i="2"/>
  <c r="K330" i="2"/>
  <c r="O330" i="2" s="1"/>
  <c r="P330" i="2" s="1"/>
  <c r="AA329" i="2"/>
  <c r="Z329" i="2"/>
  <c r="X329" i="2"/>
  <c r="V329" i="2"/>
  <c r="R329" i="2"/>
  <c r="K329" i="2"/>
  <c r="O329" i="2" s="1"/>
  <c r="P329" i="2" s="1"/>
  <c r="AA328" i="2"/>
  <c r="Z328" i="2"/>
  <c r="X328" i="2"/>
  <c r="V328" i="2"/>
  <c r="R328" i="2"/>
  <c r="K328" i="2"/>
  <c r="O328" i="2" s="1"/>
  <c r="P328" i="2" s="1"/>
  <c r="AA327" i="2"/>
  <c r="Z327" i="2"/>
  <c r="X327" i="2"/>
  <c r="V327" i="2"/>
  <c r="R327" i="2"/>
  <c r="K327" i="2"/>
  <c r="O327" i="2" s="1"/>
  <c r="P327" i="2" s="1"/>
  <c r="AA326" i="2"/>
  <c r="Z326" i="2"/>
  <c r="X326" i="2"/>
  <c r="V326" i="2"/>
  <c r="R326" i="2"/>
  <c r="K326" i="2"/>
  <c r="O326" i="2" s="1"/>
  <c r="P326" i="2" s="1"/>
  <c r="AA325" i="2"/>
  <c r="Z325" i="2"/>
  <c r="X325" i="2"/>
  <c r="V325" i="2"/>
  <c r="R325" i="2"/>
  <c r="K325" i="2"/>
  <c r="O325" i="2" s="1"/>
  <c r="P325" i="2" s="1"/>
  <c r="AA324" i="2"/>
  <c r="Z324" i="2"/>
  <c r="X324" i="2"/>
  <c r="V324" i="2"/>
  <c r="R324" i="2"/>
  <c r="K324" i="2"/>
  <c r="O324" i="2" s="1"/>
  <c r="P324" i="2" s="1"/>
  <c r="AA323" i="2"/>
  <c r="Z323" i="2"/>
  <c r="X323" i="2"/>
  <c r="V323" i="2"/>
  <c r="R323" i="2"/>
  <c r="K323" i="2"/>
  <c r="O323" i="2" s="1"/>
  <c r="P323" i="2" s="1"/>
  <c r="AA322" i="2"/>
  <c r="Z322" i="2"/>
  <c r="X322" i="2"/>
  <c r="V322" i="2"/>
  <c r="R322" i="2"/>
  <c r="K322" i="2"/>
  <c r="O322" i="2" s="1"/>
  <c r="P322" i="2" s="1"/>
  <c r="AA321" i="2"/>
  <c r="Z321" i="2"/>
  <c r="X321" i="2"/>
  <c r="V321" i="2"/>
  <c r="R321" i="2"/>
  <c r="K321" i="2"/>
  <c r="O321" i="2" s="1"/>
  <c r="P321" i="2" s="1"/>
  <c r="AA320" i="2"/>
  <c r="Z320" i="2"/>
  <c r="X320" i="2"/>
  <c r="V320" i="2"/>
  <c r="R320" i="2"/>
  <c r="K320" i="2"/>
  <c r="O320" i="2" s="1"/>
  <c r="P320" i="2" s="1"/>
  <c r="AA319" i="2"/>
  <c r="Z319" i="2"/>
  <c r="X319" i="2"/>
  <c r="V319" i="2"/>
  <c r="R319" i="2"/>
  <c r="K319" i="2"/>
  <c r="O319" i="2" s="1"/>
  <c r="P319" i="2" s="1"/>
  <c r="AA318" i="2"/>
  <c r="Z318" i="2"/>
  <c r="X318" i="2"/>
  <c r="V318" i="2"/>
  <c r="R318" i="2"/>
  <c r="K318" i="2"/>
  <c r="O318" i="2" s="1"/>
  <c r="P318" i="2" s="1"/>
  <c r="AA317" i="2"/>
  <c r="Z317" i="2"/>
  <c r="X317" i="2"/>
  <c r="V317" i="2"/>
  <c r="R317" i="2"/>
  <c r="K317" i="2"/>
  <c r="O317" i="2" s="1"/>
  <c r="P317" i="2" s="1"/>
  <c r="AA316" i="2"/>
  <c r="Z316" i="2"/>
  <c r="X316" i="2"/>
  <c r="V316" i="2"/>
  <c r="R316" i="2"/>
  <c r="K316" i="2"/>
  <c r="O316" i="2" s="1"/>
  <c r="P316" i="2" s="1"/>
  <c r="AA315" i="2"/>
  <c r="Z315" i="2"/>
  <c r="X315" i="2"/>
  <c r="V315" i="2"/>
  <c r="R315" i="2"/>
  <c r="K315" i="2"/>
  <c r="O315" i="2" s="1"/>
  <c r="P315" i="2" s="1"/>
  <c r="AA314" i="2"/>
  <c r="Z314" i="2"/>
  <c r="X314" i="2"/>
  <c r="V314" i="2"/>
  <c r="R314" i="2"/>
  <c r="K314" i="2"/>
  <c r="O314" i="2" s="1"/>
  <c r="P314" i="2" s="1"/>
  <c r="AA313" i="2"/>
  <c r="Z313" i="2"/>
  <c r="X313" i="2"/>
  <c r="V313" i="2"/>
  <c r="R313" i="2"/>
  <c r="K313" i="2"/>
  <c r="O313" i="2" s="1"/>
  <c r="P313" i="2" s="1"/>
  <c r="AA312" i="2"/>
  <c r="Z312" i="2"/>
  <c r="X312" i="2"/>
  <c r="V312" i="2"/>
  <c r="R312" i="2"/>
  <c r="K312" i="2"/>
  <c r="O312" i="2" s="1"/>
  <c r="P312" i="2" s="1"/>
  <c r="AA311" i="2"/>
  <c r="Z311" i="2"/>
  <c r="X311" i="2"/>
  <c r="V311" i="2"/>
  <c r="R311" i="2"/>
  <c r="K311" i="2"/>
  <c r="O311" i="2" s="1"/>
  <c r="P311" i="2" s="1"/>
  <c r="AA310" i="2"/>
  <c r="Z310" i="2"/>
  <c r="X310" i="2"/>
  <c r="V310" i="2"/>
  <c r="R310" i="2"/>
  <c r="K310" i="2"/>
  <c r="O310" i="2" s="1"/>
  <c r="P310" i="2" s="1"/>
  <c r="AA309" i="2"/>
  <c r="Z309" i="2"/>
  <c r="X309" i="2"/>
  <c r="V309" i="2"/>
  <c r="R309" i="2"/>
  <c r="K309" i="2"/>
  <c r="O309" i="2" s="1"/>
  <c r="P309" i="2" s="1"/>
  <c r="AA308" i="2"/>
  <c r="Z308" i="2"/>
  <c r="X308" i="2"/>
  <c r="V308" i="2"/>
  <c r="R308" i="2"/>
  <c r="K308" i="2"/>
  <c r="O308" i="2" s="1"/>
  <c r="P308" i="2" s="1"/>
  <c r="AA307" i="2"/>
  <c r="Z307" i="2"/>
  <c r="X307" i="2"/>
  <c r="V307" i="2"/>
  <c r="R307" i="2"/>
  <c r="K307" i="2"/>
  <c r="O307" i="2" s="1"/>
  <c r="P307" i="2" s="1"/>
  <c r="AA306" i="2"/>
  <c r="Z306" i="2"/>
  <c r="X306" i="2"/>
  <c r="V306" i="2"/>
  <c r="R306" i="2"/>
  <c r="K306" i="2"/>
  <c r="O306" i="2" s="1"/>
  <c r="P306" i="2" s="1"/>
  <c r="AA305" i="2"/>
  <c r="Z305" i="2"/>
  <c r="X305" i="2"/>
  <c r="V305" i="2"/>
  <c r="R305" i="2"/>
  <c r="K305" i="2"/>
  <c r="O305" i="2" s="1"/>
  <c r="P305" i="2" s="1"/>
  <c r="AA304" i="2"/>
  <c r="Z304" i="2"/>
  <c r="X304" i="2"/>
  <c r="V304" i="2"/>
  <c r="R304" i="2"/>
  <c r="K304" i="2"/>
  <c r="O304" i="2" s="1"/>
  <c r="P304" i="2" s="1"/>
  <c r="AA303" i="2"/>
  <c r="Z303" i="2"/>
  <c r="X303" i="2"/>
  <c r="V303" i="2"/>
  <c r="R303" i="2"/>
  <c r="K303" i="2"/>
  <c r="O303" i="2" s="1"/>
  <c r="P303" i="2" s="1"/>
  <c r="AA302" i="2"/>
  <c r="Z302" i="2"/>
  <c r="X302" i="2"/>
  <c r="V302" i="2"/>
  <c r="R302" i="2"/>
  <c r="K302" i="2"/>
  <c r="O302" i="2" s="1"/>
  <c r="P302" i="2" s="1"/>
  <c r="AA301" i="2"/>
  <c r="Z301" i="2"/>
  <c r="X301" i="2"/>
  <c r="V301" i="2"/>
  <c r="R301" i="2"/>
  <c r="K301" i="2"/>
  <c r="O301" i="2" s="1"/>
  <c r="P301" i="2" s="1"/>
  <c r="AA300" i="2"/>
  <c r="Z300" i="2"/>
  <c r="X300" i="2"/>
  <c r="V300" i="2"/>
  <c r="R300" i="2"/>
  <c r="K300" i="2"/>
  <c r="O300" i="2" s="1"/>
  <c r="P300" i="2" s="1"/>
  <c r="AA299" i="2"/>
  <c r="Z299" i="2"/>
  <c r="X299" i="2"/>
  <c r="V299" i="2"/>
  <c r="R299" i="2"/>
  <c r="K299" i="2"/>
  <c r="O299" i="2" s="1"/>
  <c r="P299" i="2" s="1"/>
  <c r="AA298" i="2"/>
  <c r="Z298" i="2"/>
  <c r="X298" i="2"/>
  <c r="V298" i="2"/>
  <c r="R298" i="2"/>
  <c r="K298" i="2"/>
  <c r="O298" i="2" s="1"/>
  <c r="P298" i="2" s="1"/>
  <c r="AA297" i="2"/>
  <c r="Z297" i="2"/>
  <c r="X297" i="2"/>
  <c r="V297" i="2"/>
  <c r="R297" i="2"/>
  <c r="K297" i="2"/>
  <c r="O297" i="2" s="1"/>
  <c r="P297" i="2" s="1"/>
  <c r="AA296" i="2"/>
  <c r="Z296" i="2"/>
  <c r="X296" i="2"/>
  <c r="V296" i="2"/>
  <c r="R296" i="2"/>
  <c r="K296" i="2"/>
  <c r="O296" i="2" s="1"/>
  <c r="P296" i="2" s="1"/>
  <c r="AA295" i="2"/>
  <c r="Z295" i="2"/>
  <c r="X295" i="2"/>
  <c r="V295" i="2"/>
  <c r="R295" i="2"/>
  <c r="K295" i="2"/>
  <c r="O295" i="2" s="1"/>
  <c r="P295" i="2" s="1"/>
  <c r="AA294" i="2"/>
  <c r="Z294" i="2"/>
  <c r="X294" i="2"/>
  <c r="V294" i="2"/>
  <c r="R294" i="2"/>
  <c r="K294" i="2"/>
  <c r="O294" i="2" s="1"/>
  <c r="P294" i="2" s="1"/>
  <c r="AA293" i="2"/>
  <c r="Z293" i="2"/>
  <c r="X293" i="2"/>
  <c r="V293" i="2"/>
  <c r="R293" i="2"/>
  <c r="K293" i="2"/>
  <c r="O293" i="2" s="1"/>
  <c r="P293" i="2" s="1"/>
  <c r="AA292" i="2"/>
  <c r="Z292" i="2"/>
  <c r="X292" i="2"/>
  <c r="V292" i="2"/>
  <c r="R292" i="2"/>
  <c r="K292" i="2"/>
  <c r="O292" i="2" s="1"/>
  <c r="P292" i="2" s="1"/>
  <c r="AA291" i="2"/>
  <c r="Z291" i="2"/>
  <c r="X291" i="2"/>
  <c r="V291" i="2"/>
  <c r="R291" i="2"/>
  <c r="K291" i="2"/>
  <c r="O291" i="2" s="1"/>
  <c r="P291" i="2" s="1"/>
  <c r="AA290" i="2"/>
  <c r="Z290" i="2"/>
  <c r="X290" i="2"/>
  <c r="V290" i="2"/>
  <c r="R290" i="2"/>
  <c r="K290" i="2"/>
  <c r="O290" i="2" s="1"/>
  <c r="P290" i="2" s="1"/>
  <c r="AA289" i="2"/>
  <c r="Z289" i="2"/>
  <c r="X289" i="2"/>
  <c r="V289" i="2"/>
  <c r="R289" i="2"/>
  <c r="K289" i="2"/>
  <c r="O289" i="2" s="1"/>
  <c r="P289" i="2" s="1"/>
  <c r="AA288" i="2"/>
  <c r="Z288" i="2"/>
  <c r="X288" i="2"/>
  <c r="V288" i="2"/>
  <c r="R288" i="2"/>
  <c r="K288" i="2"/>
  <c r="O288" i="2" s="1"/>
  <c r="P288" i="2" s="1"/>
  <c r="AA287" i="2"/>
  <c r="Z287" i="2"/>
  <c r="X287" i="2"/>
  <c r="V287" i="2"/>
  <c r="R287" i="2"/>
  <c r="K287" i="2"/>
  <c r="O287" i="2" s="1"/>
  <c r="P287" i="2" s="1"/>
  <c r="AA286" i="2"/>
  <c r="Z286" i="2"/>
  <c r="X286" i="2"/>
  <c r="V286" i="2"/>
  <c r="R286" i="2"/>
  <c r="K286" i="2"/>
  <c r="O286" i="2" s="1"/>
  <c r="P286" i="2" s="1"/>
  <c r="AA285" i="2"/>
  <c r="Z285" i="2"/>
  <c r="X285" i="2"/>
  <c r="V285" i="2"/>
  <c r="R285" i="2"/>
  <c r="K285" i="2"/>
  <c r="O285" i="2" s="1"/>
  <c r="P285" i="2" s="1"/>
  <c r="AA284" i="2"/>
  <c r="Z284" i="2"/>
  <c r="X284" i="2"/>
  <c r="V284" i="2"/>
  <c r="R284" i="2"/>
  <c r="K284" i="2"/>
  <c r="O284" i="2" s="1"/>
  <c r="P284" i="2" s="1"/>
  <c r="AA283" i="2"/>
  <c r="Z283" i="2"/>
  <c r="X283" i="2"/>
  <c r="V283" i="2"/>
  <c r="R283" i="2"/>
  <c r="K283" i="2"/>
  <c r="O283" i="2" s="1"/>
  <c r="P283" i="2" s="1"/>
  <c r="AA282" i="2"/>
  <c r="Z282" i="2"/>
  <c r="X282" i="2"/>
  <c r="V282" i="2"/>
  <c r="R282" i="2"/>
  <c r="K282" i="2"/>
  <c r="O282" i="2" s="1"/>
  <c r="P282" i="2" s="1"/>
  <c r="AA281" i="2"/>
  <c r="Z281" i="2"/>
  <c r="X281" i="2"/>
  <c r="V281" i="2"/>
  <c r="R281" i="2"/>
  <c r="K281" i="2"/>
  <c r="O281" i="2" s="1"/>
  <c r="P281" i="2" s="1"/>
  <c r="AA280" i="2"/>
  <c r="Z280" i="2"/>
  <c r="X280" i="2"/>
  <c r="V280" i="2"/>
  <c r="R280" i="2"/>
  <c r="K280" i="2"/>
  <c r="O280" i="2" s="1"/>
  <c r="P280" i="2" s="1"/>
  <c r="AA279" i="2"/>
  <c r="Z279" i="2"/>
  <c r="X279" i="2"/>
  <c r="V279" i="2"/>
  <c r="R279" i="2"/>
  <c r="K279" i="2"/>
  <c r="O279" i="2" s="1"/>
  <c r="P279" i="2" s="1"/>
  <c r="AA278" i="2"/>
  <c r="Z278" i="2"/>
  <c r="X278" i="2"/>
  <c r="V278" i="2"/>
  <c r="R278" i="2"/>
  <c r="K278" i="2"/>
  <c r="O278" i="2" s="1"/>
  <c r="P278" i="2" s="1"/>
  <c r="AA277" i="2"/>
  <c r="Z277" i="2"/>
  <c r="X277" i="2"/>
  <c r="V277" i="2"/>
  <c r="R277" i="2"/>
  <c r="K277" i="2"/>
  <c r="O277" i="2" s="1"/>
  <c r="P277" i="2" s="1"/>
  <c r="AA276" i="2"/>
  <c r="Z276" i="2"/>
  <c r="X276" i="2"/>
  <c r="V276" i="2"/>
  <c r="R276" i="2"/>
  <c r="K276" i="2"/>
  <c r="O276" i="2" s="1"/>
  <c r="P276" i="2" s="1"/>
  <c r="AA275" i="2"/>
  <c r="Z275" i="2"/>
  <c r="X275" i="2"/>
  <c r="V275" i="2"/>
  <c r="R275" i="2"/>
  <c r="K275" i="2"/>
  <c r="O275" i="2" s="1"/>
  <c r="P275" i="2" s="1"/>
  <c r="AA274" i="2"/>
  <c r="Z274" i="2"/>
  <c r="X274" i="2"/>
  <c r="V274" i="2"/>
  <c r="R274" i="2"/>
  <c r="K274" i="2"/>
  <c r="O274" i="2" s="1"/>
  <c r="P274" i="2" s="1"/>
  <c r="AA273" i="2"/>
  <c r="Z273" i="2"/>
  <c r="X273" i="2"/>
  <c r="V273" i="2"/>
  <c r="R273" i="2"/>
  <c r="K273" i="2"/>
  <c r="O273" i="2" s="1"/>
  <c r="P273" i="2" s="1"/>
  <c r="AA272" i="2"/>
  <c r="Z272" i="2"/>
  <c r="X272" i="2"/>
  <c r="V272" i="2"/>
  <c r="R272" i="2"/>
  <c r="K272" i="2"/>
  <c r="O272" i="2" s="1"/>
  <c r="P272" i="2" s="1"/>
  <c r="AA271" i="2"/>
  <c r="Z271" i="2"/>
  <c r="X271" i="2"/>
  <c r="V271" i="2"/>
  <c r="R271" i="2"/>
  <c r="K271" i="2"/>
  <c r="O271" i="2" s="1"/>
  <c r="P271" i="2" s="1"/>
  <c r="AA270" i="2"/>
  <c r="Z270" i="2"/>
  <c r="X270" i="2"/>
  <c r="V270" i="2"/>
  <c r="R270" i="2"/>
  <c r="K270" i="2"/>
  <c r="O270" i="2" s="1"/>
  <c r="P270" i="2" s="1"/>
  <c r="AA269" i="2"/>
  <c r="Z269" i="2"/>
  <c r="X269" i="2"/>
  <c r="V269" i="2"/>
  <c r="R269" i="2"/>
  <c r="K269" i="2"/>
  <c r="O269" i="2" s="1"/>
  <c r="P269" i="2" s="1"/>
  <c r="AA268" i="2"/>
  <c r="Z268" i="2"/>
  <c r="X268" i="2"/>
  <c r="V268" i="2"/>
  <c r="R268" i="2"/>
  <c r="K268" i="2"/>
  <c r="O268" i="2" s="1"/>
  <c r="P268" i="2" s="1"/>
  <c r="AA267" i="2"/>
  <c r="Z267" i="2"/>
  <c r="X267" i="2"/>
  <c r="V267" i="2"/>
  <c r="R267" i="2"/>
  <c r="K267" i="2"/>
  <c r="O267" i="2" s="1"/>
  <c r="P267" i="2" s="1"/>
  <c r="AA266" i="2"/>
  <c r="Z266" i="2"/>
  <c r="X266" i="2"/>
  <c r="V266" i="2"/>
  <c r="R266" i="2"/>
  <c r="K266" i="2"/>
  <c r="O266" i="2" s="1"/>
  <c r="P266" i="2" s="1"/>
  <c r="AA265" i="2"/>
  <c r="Z265" i="2"/>
  <c r="X265" i="2"/>
  <c r="V265" i="2"/>
  <c r="R265" i="2"/>
  <c r="K265" i="2"/>
  <c r="O265" i="2" s="1"/>
  <c r="P265" i="2" s="1"/>
  <c r="AA264" i="2"/>
  <c r="Z264" i="2"/>
  <c r="X264" i="2"/>
  <c r="V264" i="2"/>
  <c r="R264" i="2"/>
  <c r="K264" i="2"/>
  <c r="O264" i="2" s="1"/>
  <c r="P264" i="2" s="1"/>
  <c r="AA263" i="2"/>
  <c r="Z263" i="2"/>
  <c r="X263" i="2"/>
  <c r="V263" i="2"/>
  <c r="R263" i="2"/>
  <c r="K263" i="2"/>
  <c r="O263" i="2" s="1"/>
  <c r="P263" i="2" s="1"/>
  <c r="AA262" i="2"/>
  <c r="Z262" i="2"/>
  <c r="X262" i="2"/>
  <c r="V262" i="2"/>
  <c r="R262" i="2"/>
  <c r="K262" i="2"/>
  <c r="O262" i="2" s="1"/>
  <c r="P262" i="2" s="1"/>
  <c r="AA261" i="2"/>
  <c r="Z261" i="2"/>
  <c r="X261" i="2"/>
  <c r="V261" i="2"/>
  <c r="R261" i="2"/>
  <c r="K261" i="2"/>
  <c r="O261" i="2" s="1"/>
  <c r="P261" i="2" s="1"/>
  <c r="AA260" i="2"/>
  <c r="Z260" i="2"/>
  <c r="X260" i="2"/>
  <c r="V260" i="2"/>
  <c r="R260" i="2"/>
  <c r="K260" i="2"/>
  <c r="O260" i="2" s="1"/>
  <c r="P260" i="2" s="1"/>
  <c r="AA259" i="2"/>
  <c r="Z259" i="2"/>
  <c r="X259" i="2"/>
  <c r="V259" i="2"/>
  <c r="R259" i="2"/>
  <c r="K259" i="2"/>
  <c r="O259" i="2" s="1"/>
  <c r="P259" i="2" s="1"/>
  <c r="AA258" i="2"/>
  <c r="Z258" i="2"/>
  <c r="X258" i="2"/>
  <c r="V258" i="2"/>
  <c r="R258" i="2"/>
  <c r="K258" i="2"/>
  <c r="O258" i="2" s="1"/>
  <c r="P258" i="2" s="1"/>
  <c r="AA257" i="2"/>
  <c r="Z257" i="2"/>
  <c r="X257" i="2"/>
  <c r="V257" i="2"/>
  <c r="R257" i="2"/>
  <c r="K257" i="2"/>
  <c r="O257" i="2" s="1"/>
  <c r="P257" i="2" s="1"/>
  <c r="AA256" i="2"/>
  <c r="Z256" i="2"/>
  <c r="X256" i="2"/>
  <c r="V256" i="2"/>
  <c r="R256" i="2"/>
  <c r="K256" i="2"/>
  <c r="O256" i="2" s="1"/>
  <c r="P256" i="2" s="1"/>
  <c r="AA255" i="2"/>
  <c r="Z255" i="2"/>
  <c r="X255" i="2"/>
  <c r="V255" i="2"/>
  <c r="R255" i="2"/>
  <c r="K255" i="2"/>
  <c r="O255" i="2" s="1"/>
  <c r="P255" i="2" s="1"/>
  <c r="AA254" i="2"/>
  <c r="Z254" i="2"/>
  <c r="X254" i="2"/>
  <c r="V254" i="2"/>
  <c r="R254" i="2"/>
  <c r="K254" i="2"/>
  <c r="O254" i="2" s="1"/>
  <c r="P254" i="2" s="1"/>
  <c r="AA253" i="2"/>
  <c r="Z253" i="2"/>
  <c r="X253" i="2"/>
  <c r="V253" i="2"/>
  <c r="R253" i="2"/>
  <c r="K253" i="2"/>
  <c r="O253" i="2" s="1"/>
  <c r="P253" i="2" s="1"/>
  <c r="AA252" i="2"/>
  <c r="Z252" i="2"/>
  <c r="X252" i="2"/>
  <c r="V252" i="2"/>
  <c r="R252" i="2"/>
  <c r="K252" i="2"/>
  <c r="O252" i="2" s="1"/>
  <c r="P252" i="2" s="1"/>
  <c r="AA251" i="2"/>
  <c r="Z251" i="2"/>
  <c r="X251" i="2"/>
  <c r="V251" i="2"/>
  <c r="R251" i="2"/>
  <c r="K251" i="2"/>
  <c r="O251" i="2" s="1"/>
  <c r="P251" i="2" s="1"/>
  <c r="AA250" i="2"/>
  <c r="Z250" i="2"/>
  <c r="X250" i="2"/>
  <c r="V250" i="2"/>
  <c r="R250" i="2"/>
  <c r="K250" i="2"/>
  <c r="O250" i="2" s="1"/>
  <c r="P250" i="2" s="1"/>
  <c r="AA249" i="2"/>
  <c r="Z249" i="2"/>
  <c r="X249" i="2"/>
  <c r="V249" i="2"/>
  <c r="R249" i="2"/>
  <c r="K249" i="2"/>
  <c r="O249" i="2" s="1"/>
  <c r="P249" i="2" s="1"/>
  <c r="AA248" i="2"/>
  <c r="Z248" i="2"/>
  <c r="X248" i="2"/>
  <c r="V248" i="2"/>
  <c r="R248" i="2"/>
  <c r="K248" i="2"/>
  <c r="O248" i="2" s="1"/>
  <c r="P248" i="2" s="1"/>
  <c r="AA247" i="2"/>
  <c r="Z247" i="2"/>
  <c r="X247" i="2"/>
  <c r="V247" i="2"/>
  <c r="R247" i="2"/>
  <c r="K247" i="2"/>
  <c r="O247" i="2" s="1"/>
  <c r="P247" i="2" s="1"/>
  <c r="AA246" i="2"/>
  <c r="Z246" i="2"/>
  <c r="X246" i="2"/>
  <c r="V246" i="2"/>
  <c r="R246" i="2"/>
  <c r="K246" i="2"/>
  <c r="O246" i="2" s="1"/>
  <c r="P246" i="2" s="1"/>
  <c r="AA245" i="2"/>
  <c r="Z245" i="2"/>
  <c r="X245" i="2"/>
  <c r="V245" i="2"/>
  <c r="R245" i="2"/>
  <c r="K245" i="2"/>
  <c r="O245" i="2" s="1"/>
  <c r="P245" i="2" s="1"/>
  <c r="AA244" i="2"/>
  <c r="Z244" i="2"/>
  <c r="X244" i="2"/>
  <c r="V244" i="2"/>
  <c r="R244" i="2"/>
  <c r="K244" i="2"/>
  <c r="O244" i="2" s="1"/>
  <c r="P244" i="2" s="1"/>
  <c r="AA243" i="2"/>
  <c r="Z243" i="2"/>
  <c r="X243" i="2"/>
  <c r="V243" i="2"/>
  <c r="R243" i="2"/>
  <c r="K243" i="2"/>
  <c r="O243" i="2" s="1"/>
  <c r="P243" i="2" s="1"/>
  <c r="AA242" i="2"/>
  <c r="Z242" i="2"/>
  <c r="X242" i="2"/>
  <c r="V242" i="2"/>
  <c r="R242" i="2"/>
  <c r="K242" i="2"/>
  <c r="O242" i="2" s="1"/>
  <c r="P242" i="2" s="1"/>
  <c r="AA241" i="2"/>
  <c r="Z241" i="2"/>
  <c r="X241" i="2"/>
  <c r="V241" i="2"/>
  <c r="R241" i="2"/>
  <c r="K241" i="2"/>
  <c r="O241" i="2" s="1"/>
  <c r="P241" i="2" s="1"/>
  <c r="AA240" i="2"/>
  <c r="Z240" i="2"/>
  <c r="X240" i="2"/>
  <c r="V240" i="2"/>
  <c r="R240" i="2"/>
  <c r="K240" i="2"/>
  <c r="O240" i="2" s="1"/>
  <c r="P240" i="2" s="1"/>
  <c r="AA239" i="2"/>
  <c r="Z239" i="2"/>
  <c r="X239" i="2"/>
  <c r="V239" i="2"/>
  <c r="R239" i="2"/>
  <c r="K239" i="2"/>
  <c r="O239" i="2" s="1"/>
  <c r="P239" i="2" s="1"/>
  <c r="AA238" i="2"/>
  <c r="Z238" i="2"/>
  <c r="X238" i="2"/>
  <c r="V238" i="2"/>
  <c r="R238" i="2"/>
  <c r="K238" i="2"/>
  <c r="O238" i="2" s="1"/>
  <c r="P238" i="2" s="1"/>
  <c r="AA237" i="2"/>
  <c r="Z237" i="2"/>
  <c r="X237" i="2"/>
  <c r="V237" i="2"/>
  <c r="R237" i="2"/>
  <c r="K237" i="2"/>
  <c r="O237" i="2" s="1"/>
  <c r="P237" i="2" s="1"/>
  <c r="AA236" i="2"/>
  <c r="Z236" i="2"/>
  <c r="X236" i="2"/>
  <c r="V236" i="2"/>
  <c r="R236" i="2"/>
  <c r="K236" i="2"/>
  <c r="O236" i="2" s="1"/>
  <c r="P236" i="2" s="1"/>
  <c r="AA235" i="2"/>
  <c r="Z235" i="2"/>
  <c r="X235" i="2"/>
  <c r="V235" i="2"/>
  <c r="R235" i="2"/>
  <c r="K235" i="2"/>
  <c r="O235" i="2" s="1"/>
  <c r="P235" i="2" s="1"/>
  <c r="AA234" i="2"/>
  <c r="Z234" i="2"/>
  <c r="X234" i="2"/>
  <c r="V234" i="2"/>
  <c r="R234" i="2"/>
  <c r="K234" i="2"/>
  <c r="O234" i="2" s="1"/>
  <c r="P234" i="2" s="1"/>
  <c r="AA233" i="2"/>
  <c r="Z233" i="2"/>
  <c r="X233" i="2"/>
  <c r="V233" i="2"/>
  <c r="R233" i="2"/>
  <c r="K233" i="2"/>
  <c r="O233" i="2" s="1"/>
  <c r="P233" i="2" s="1"/>
  <c r="AA232" i="2"/>
  <c r="Z232" i="2"/>
  <c r="X232" i="2"/>
  <c r="V232" i="2"/>
  <c r="R232" i="2"/>
  <c r="K232" i="2"/>
  <c r="O232" i="2" s="1"/>
  <c r="P232" i="2" s="1"/>
  <c r="AA231" i="2"/>
  <c r="Z231" i="2"/>
  <c r="X231" i="2"/>
  <c r="V231" i="2"/>
  <c r="R231" i="2"/>
  <c r="K231" i="2"/>
  <c r="O231" i="2" s="1"/>
  <c r="P231" i="2" s="1"/>
  <c r="AA230" i="2"/>
  <c r="Z230" i="2"/>
  <c r="X230" i="2"/>
  <c r="V230" i="2"/>
  <c r="R230" i="2"/>
  <c r="K230" i="2"/>
  <c r="O230" i="2" s="1"/>
  <c r="P230" i="2" s="1"/>
  <c r="AA229" i="2"/>
  <c r="Z229" i="2"/>
  <c r="X229" i="2"/>
  <c r="V229" i="2"/>
  <c r="R229" i="2"/>
  <c r="K229" i="2"/>
  <c r="O229" i="2" s="1"/>
  <c r="P229" i="2" s="1"/>
  <c r="AA228" i="2"/>
  <c r="Z228" i="2"/>
  <c r="X228" i="2"/>
  <c r="V228" i="2"/>
  <c r="R228" i="2"/>
  <c r="K228" i="2"/>
  <c r="O228" i="2" s="1"/>
  <c r="P228" i="2" s="1"/>
  <c r="AA227" i="2"/>
  <c r="Z227" i="2"/>
  <c r="X227" i="2"/>
  <c r="V227" i="2"/>
  <c r="R227" i="2"/>
  <c r="K227" i="2"/>
  <c r="O227" i="2" s="1"/>
  <c r="P227" i="2" s="1"/>
  <c r="AA226" i="2"/>
  <c r="Z226" i="2"/>
  <c r="X226" i="2"/>
  <c r="V226" i="2"/>
  <c r="R226" i="2"/>
  <c r="K226" i="2"/>
  <c r="O226" i="2" s="1"/>
  <c r="P226" i="2" s="1"/>
  <c r="AA225" i="2"/>
  <c r="Z225" i="2"/>
  <c r="X225" i="2"/>
  <c r="V225" i="2"/>
  <c r="R225" i="2"/>
  <c r="K225" i="2"/>
  <c r="O225" i="2" s="1"/>
  <c r="P225" i="2" s="1"/>
  <c r="AA224" i="2"/>
  <c r="Z224" i="2"/>
  <c r="X224" i="2"/>
  <c r="V224" i="2"/>
  <c r="R224" i="2"/>
  <c r="K224" i="2"/>
  <c r="O224" i="2" s="1"/>
  <c r="P224" i="2" s="1"/>
  <c r="AA223" i="2"/>
  <c r="Z223" i="2"/>
  <c r="X223" i="2"/>
  <c r="V223" i="2"/>
  <c r="R223" i="2"/>
  <c r="K223" i="2"/>
  <c r="O223" i="2" s="1"/>
  <c r="P223" i="2" s="1"/>
  <c r="AA222" i="2"/>
  <c r="Z222" i="2"/>
  <c r="X222" i="2"/>
  <c r="V222" i="2"/>
  <c r="R222" i="2"/>
  <c r="K222" i="2"/>
  <c r="O222" i="2" s="1"/>
  <c r="P222" i="2" s="1"/>
  <c r="AA221" i="2"/>
  <c r="Z221" i="2"/>
  <c r="X221" i="2"/>
  <c r="V221" i="2"/>
  <c r="R221" i="2"/>
  <c r="K221" i="2"/>
  <c r="O221" i="2" s="1"/>
  <c r="P221" i="2" s="1"/>
  <c r="AA220" i="2"/>
  <c r="Z220" i="2"/>
  <c r="X220" i="2"/>
  <c r="V220" i="2"/>
  <c r="R220" i="2"/>
  <c r="K220" i="2"/>
  <c r="O220" i="2" s="1"/>
  <c r="P220" i="2" s="1"/>
  <c r="AA219" i="2"/>
  <c r="Z219" i="2"/>
  <c r="X219" i="2"/>
  <c r="V219" i="2"/>
  <c r="R219" i="2"/>
  <c r="K219" i="2"/>
  <c r="O219" i="2" s="1"/>
  <c r="P219" i="2" s="1"/>
  <c r="AA218" i="2"/>
  <c r="Z218" i="2"/>
  <c r="X218" i="2"/>
  <c r="V218" i="2"/>
  <c r="R218" i="2"/>
  <c r="K218" i="2"/>
  <c r="O218" i="2" s="1"/>
  <c r="P218" i="2" s="1"/>
  <c r="AA217" i="2"/>
  <c r="Z217" i="2"/>
  <c r="X217" i="2"/>
  <c r="V217" i="2"/>
  <c r="R217" i="2"/>
  <c r="K217" i="2"/>
  <c r="O217" i="2" s="1"/>
  <c r="P217" i="2" s="1"/>
  <c r="AA216" i="2"/>
  <c r="Z216" i="2"/>
  <c r="X216" i="2"/>
  <c r="V216" i="2"/>
  <c r="R216" i="2"/>
  <c r="K216" i="2"/>
  <c r="O216" i="2" s="1"/>
  <c r="P216" i="2" s="1"/>
  <c r="AA215" i="2"/>
  <c r="Z215" i="2"/>
  <c r="X215" i="2"/>
  <c r="V215" i="2"/>
  <c r="R215" i="2"/>
  <c r="K215" i="2"/>
  <c r="O215" i="2" s="1"/>
  <c r="P215" i="2" s="1"/>
  <c r="AA214" i="2"/>
  <c r="Z214" i="2"/>
  <c r="X214" i="2"/>
  <c r="V214" i="2"/>
  <c r="R214" i="2"/>
  <c r="K214" i="2"/>
  <c r="O214" i="2" s="1"/>
  <c r="P214" i="2" s="1"/>
  <c r="AA213" i="2"/>
  <c r="Z213" i="2"/>
  <c r="X213" i="2"/>
  <c r="V213" i="2"/>
  <c r="R213" i="2"/>
  <c r="K213" i="2"/>
  <c r="O213" i="2" s="1"/>
  <c r="P213" i="2" s="1"/>
  <c r="AA212" i="2"/>
  <c r="Z212" i="2"/>
  <c r="X212" i="2"/>
  <c r="V212" i="2"/>
  <c r="R212" i="2"/>
  <c r="K212" i="2"/>
  <c r="O212" i="2" s="1"/>
  <c r="P212" i="2" s="1"/>
  <c r="AA211" i="2"/>
  <c r="Z211" i="2"/>
  <c r="X211" i="2"/>
  <c r="V211" i="2"/>
  <c r="R211" i="2"/>
  <c r="K211" i="2"/>
  <c r="O211" i="2" s="1"/>
  <c r="P211" i="2" s="1"/>
  <c r="AA210" i="2"/>
  <c r="Z210" i="2"/>
  <c r="X210" i="2"/>
  <c r="V210" i="2"/>
  <c r="R210" i="2"/>
  <c r="K210" i="2"/>
  <c r="O210" i="2" s="1"/>
  <c r="P210" i="2" s="1"/>
  <c r="AA209" i="2"/>
  <c r="Z209" i="2"/>
  <c r="X209" i="2"/>
  <c r="V209" i="2"/>
  <c r="R209" i="2"/>
  <c r="K209" i="2"/>
  <c r="O209" i="2" s="1"/>
  <c r="P209" i="2" s="1"/>
  <c r="AA208" i="2"/>
  <c r="Z208" i="2"/>
  <c r="X208" i="2"/>
  <c r="V208" i="2"/>
  <c r="R208" i="2"/>
  <c r="K208" i="2"/>
  <c r="O208" i="2" s="1"/>
  <c r="P208" i="2" s="1"/>
  <c r="AA207" i="2"/>
  <c r="Z207" i="2"/>
  <c r="X207" i="2"/>
  <c r="V207" i="2"/>
  <c r="R207" i="2"/>
  <c r="K207" i="2"/>
  <c r="O207" i="2" s="1"/>
  <c r="P207" i="2" s="1"/>
  <c r="AA206" i="2"/>
  <c r="Z206" i="2"/>
  <c r="X206" i="2"/>
  <c r="V206" i="2"/>
  <c r="R206" i="2"/>
  <c r="K206" i="2"/>
  <c r="O206" i="2" s="1"/>
  <c r="P206" i="2" s="1"/>
  <c r="AA205" i="2"/>
  <c r="Z205" i="2"/>
  <c r="X205" i="2"/>
  <c r="V205" i="2"/>
  <c r="R205" i="2"/>
  <c r="K205" i="2"/>
  <c r="O205" i="2" s="1"/>
  <c r="P205" i="2" s="1"/>
  <c r="AA204" i="2"/>
  <c r="Z204" i="2"/>
  <c r="X204" i="2"/>
  <c r="V204" i="2"/>
  <c r="R204" i="2"/>
  <c r="K204" i="2"/>
  <c r="O204" i="2" s="1"/>
  <c r="P204" i="2" s="1"/>
  <c r="AA203" i="2"/>
  <c r="Z203" i="2"/>
  <c r="X203" i="2"/>
  <c r="V203" i="2"/>
  <c r="R203" i="2"/>
  <c r="K203" i="2"/>
  <c r="O203" i="2" s="1"/>
  <c r="P203" i="2" s="1"/>
  <c r="AA202" i="2"/>
  <c r="Z202" i="2"/>
  <c r="X202" i="2"/>
  <c r="V202" i="2"/>
  <c r="R202" i="2"/>
  <c r="K202" i="2"/>
  <c r="O202" i="2" s="1"/>
  <c r="P202" i="2" s="1"/>
  <c r="AA201" i="2"/>
  <c r="Z201" i="2"/>
  <c r="X201" i="2"/>
  <c r="V201" i="2"/>
  <c r="R201" i="2"/>
  <c r="K201" i="2"/>
  <c r="O201" i="2" s="1"/>
  <c r="P201" i="2" s="1"/>
  <c r="AA200" i="2"/>
  <c r="Z200" i="2"/>
  <c r="X200" i="2"/>
  <c r="V200" i="2"/>
  <c r="R200" i="2"/>
  <c r="K200" i="2"/>
  <c r="O200" i="2" s="1"/>
  <c r="P200" i="2" s="1"/>
  <c r="AA199" i="2"/>
  <c r="Z199" i="2"/>
  <c r="X199" i="2"/>
  <c r="V199" i="2"/>
  <c r="R199" i="2"/>
  <c r="K199" i="2"/>
  <c r="O199" i="2" s="1"/>
  <c r="P199" i="2" s="1"/>
  <c r="AA198" i="2"/>
  <c r="Z198" i="2"/>
  <c r="X198" i="2"/>
  <c r="V198" i="2"/>
  <c r="R198" i="2"/>
  <c r="K198" i="2"/>
  <c r="O198" i="2" s="1"/>
  <c r="P198" i="2" s="1"/>
  <c r="AA197" i="2"/>
  <c r="Z197" i="2"/>
  <c r="X197" i="2"/>
  <c r="V197" i="2"/>
  <c r="R197" i="2"/>
  <c r="K197" i="2"/>
  <c r="O197" i="2" s="1"/>
  <c r="P197" i="2" s="1"/>
  <c r="AA196" i="2"/>
  <c r="Z196" i="2"/>
  <c r="X196" i="2"/>
  <c r="V196" i="2"/>
  <c r="R196" i="2"/>
  <c r="K196" i="2"/>
  <c r="O196" i="2" s="1"/>
  <c r="P196" i="2" s="1"/>
  <c r="AA195" i="2"/>
  <c r="Z195" i="2"/>
  <c r="X195" i="2"/>
  <c r="V195" i="2"/>
  <c r="R195" i="2"/>
  <c r="K195" i="2"/>
  <c r="O195" i="2" s="1"/>
  <c r="P195" i="2" s="1"/>
  <c r="AA194" i="2"/>
  <c r="Z194" i="2"/>
  <c r="X194" i="2"/>
  <c r="V194" i="2"/>
  <c r="R194" i="2"/>
  <c r="K194" i="2"/>
  <c r="O194" i="2" s="1"/>
  <c r="P194" i="2" s="1"/>
  <c r="AA193" i="2"/>
  <c r="Z193" i="2"/>
  <c r="X193" i="2"/>
  <c r="V193" i="2"/>
  <c r="R193" i="2"/>
  <c r="K193" i="2"/>
  <c r="O193" i="2" s="1"/>
  <c r="P193" i="2" s="1"/>
  <c r="AA192" i="2"/>
  <c r="Z192" i="2"/>
  <c r="X192" i="2"/>
  <c r="V192" i="2"/>
  <c r="R192" i="2"/>
  <c r="K192" i="2"/>
  <c r="O192" i="2" s="1"/>
  <c r="P192" i="2" s="1"/>
  <c r="AA191" i="2"/>
  <c r="Z191" i="2"/>
  <c r="X191" i="2"/>
  <c r="V191" i="2"/>
  <c r="R191" i="2"/>
  <c r="K191" i="2"/>
  <c r="O191" i="2" s="1"/>
  <c r="P191" i="2" s="1"/>
  <c r="AA190" i="2"/>
  <c r="Z190" i="2"/>
  <c r="X190" i="2"/>
  <c r="V190" i="2"/>
  <c r="R190" i="2"/>
  <c r="K190" i="2"/>
  <c r="O190" i="2" s="1"/>
  <c r="P190" i="2" s="1"/>
  <c r="AA189" i="2"/>
  <c r="Z189" i="2"/>
  <c r="X189" i="2"/>
  <c r="V189" i="2"/>
  <c r="R189" i="2"/>
  <c r="K189" i="2"/>
  <c r="O189" i="2" s="1"/>
  <c r="P189" i="2" s="1"/>
  <c r="AA188" i="2"/>
  <c r="Z188" i="2"/>
  <c r="X188" i="2"/>
  <c r="V188" i="2"/>
  <c r="R188" i="2"/>
  <c r="K188" i="2"/>
  <c r="O188" i="2" s="1"/>
  <c r="P188" i="2" s="1"/>
  <c r="AA187" i="2"/>
  <c r="Z187" i="2"/>
  <c r="X187" i="2"/>
  <c r="V187" i="2"/>
  <c r="R187" i="2"/>
  <c r="K187" i="2"/>
  <c r="O187" i="2" s="1"/>
  <c r="P187" i="2" s="1"/>
  <c r="AA186" i="2"/>
  <c r="Z186" i="2"/>
  <c r="X186" i="2"/>
  <c r="V186" i="2"/>
  <c r="R186" i="2"/>
  <c r="K186" i="2"/>
  <c r="O186" i="2" s="1"/>
  <c r="P186" i="2" s="1"/>
  <c r="AA185" i="2"/>
  <c r="Z185" i="2"/>
  <c r="X185" i="2"/>
  <c r="V185" i="2"/>
  <c r="R185" i="2"/>
  <c r="K185" i="2"/>
  <c r="O185" i="2" s="1"/>
  <c r="P185" i="2" s="1"/>
  <c r="AA184" i="2"/>
  <c r="Z184" i="2"/>
  <c r="X184" i="2"/>
  <c r="V184" i="2"/>
  <c r="R184" i="2"/>
  <c r="K184" i="2"/>
  <c r="O184" i="2" s="1"/>
  <c r="P184" i="2" s="1"/>
  <c r="AA183" i="2"/>
  <c r="Z183" i="2"/>
  <c r="X183" i="2"/>
  <c r="V183" i="2"/>
  <c r="R183" i="2"/>
  <c r="K183" i="2"/>
  <c r="O183" i="2" s="1"/>
  <c r="P183" i="2" s="1"/>
  <c r="AA182" i="2"/>
  <c r="Z182" i="2"/>
  <c r="X182" i="2"/>
  <c r="V182" i="2"/>
  <c r="R182" i="2"/>
  <c r="K182" i="2"/>
  <c r="O182" i="2" s="1"/>
  <c r="P182" i="2" s="1"/>
  <c r="AA181" i="2"/>
  <c r="Z181" i="2"/>
  <c r="X181" i="2"/>
  <c r="V181" i="2"/>
  <c r="R181" i="2"/>
  <c r="K181" i="2"/>
  <c r="O181" i="2" s="1"/>
  <c r="P181" i="2" s="1"/>
  <c r="AA180" i="2"/>
  <c r="Z180" i="2"/>
  <c r="X180" i="2"/>
  <c r="V180" i="2"/>
  <c r="R180" i="2"/>
  <c r="K180" i="2"/>
  <c r="O180" i="2" s="1"/>
  <c r="P180" i="2" s="1"/>
  <c r="AA179" i="2"/>
  <c r="Z179" i="2"/>
  <c r="X179" i="2"/>
  <c r="V179" i="2"/>
  <c r="R179" i="2"/>
  <c r="K179" i="2"/>
  <c r="O179" i="2" s="1"/>
  <c r="P179" i="2" s="1"/>
  <c r="AA178" i="2"/>
  <c r="Z178" i="2"/>
  <c r="X178" i="2"/>
  <c r="V178" i="2"/>
  <c r="R178" i="2"/>
  <c r="K178" i="2"/>
  <c r="O178" i="2" s="1"/>
  <c r="P178" i="2" s="1"/>
  <c r="AA177" i="2"/>
  <c r="Z177" i="2"/>
  <c r="X177" i="2"/>
  <c r="V177" i="2"/>
  <c r="R177" i="2"/>
  <c r="K177" i="2"/>
  <c r="O177" i="2" s="1"/>
  <c r="P177" i="2" s="1"/>
  <c r="AA176" i="2"/>
  <c r="Z176" i="2"/>
  <c r="X176" i="2"/>
  <c r="V176" i="2"/>
  <c r="R176" i="2"/>
  <c r="K176" i="2"/>
  <c r="O176" i="2" s="1"/>
  <c r="P176" i="2" s="1"/>
  <c r="AA175" i="2"/>
  <c r="Z175" i="2"/>
  <c r="X175" i="2"/>
  <c r="V175" i="2"/>
  <c r="R175" i="2"/>
  <c r="K175" i="2"/>
  <c r="O175" i="2" s="1"/>
  <c r="P175" i="2" s="1"/>
  <c r="AA174" i="2"/>
  <c r="Z174" i="2"/>
  <c r="X174" i="2"/>
  <c r="V174" i="2"/>
  <c r="R174" i="2"/>
  <c r="K174" i="2"/>
  <c r="O174" i="2" s="1"/>
  <c r="P174" i="2" s="1"/>
  <c r="AA173" i="2"/>
  <c r="Z173" i="2"/>
  <c r="X173" i="2"/>
  <c r="V173" i="2"/>
  <c r="R173" i="2"/>
  <c r="K173" i="2"/>
  <c r="O173" i="2" s="1"/>
  <c r="P173" i="2" s="1"/>
  <c r="AA172" i="2"/>
  <c r="Z172" i="2"/>
  <c r="X172" i="2"/>
  <c r="V172" i="2"/>
  <c r="R172" i="2"/>
  <c r="K172" i="2"/>
  <c r="O172" i="2" s="1"/>
  <c r="P172" i="2" s="1"/>
  <c r="AA171" i="2"/>
  <c r="Z171" i="2"/>
  <c r="X171" i="2"/>
  <c r="V171" i="2"/>
  <c r="R171" i="2"/>
  <c r="K171" i="2"/>
  <c r="O171" i="2" s="1"/>
  <c r="P171" i="2" s="1"/>
  <c r="AA170" i="2"/>
  <c r="Z170" i="2"/>
  <c r="X170" i="2"/>
  <c r="V170" i="2"/>
  <c r="R170" i="2"/>
  <c r="K170" i="2"/>
  <c r="O170" i="2" s="1"/>
  <c r="P170" i="2" s="1"/>
  <c r="AA169" i="2"/>
  <c r="Z169" i="2"/>
  <c r="X169" i="2"/>
  <c r="V169" i="2"/>
  <c r="R169" i="2"/>
  <c r="K169" i="2"/>
  <c r="O169" i="2" s="1"/>
  <c r="P169" i="2" s="1"/>
  <c r="AA168" i="2"/>
  <c r="Z168" i="2"/>
  <c r="X168" i="2"/>
  <c r="V168" i="2"/>
  <c r="R168" i="2"/>
  <c r="K168" i="2"/>
  <c r="O168" i="2" s="1"/>
  <c r="P168" i="2" s="1"/>
  <c r="AA167" i="2"/>
  <c r="Z167" i="2"/>
  <c r="X167" i="2"/>
  <c r="V167" i="2"/>
  <c r="R167" i="2"/>
  <c r="K167" i="2"/>
  <c r="O167" i="2" s="1"/>
  <c r="P167" i="2" s="1"/>
  <c r="AA166" i="2"/>
  <c r="Z166" i="2"/>
  <c r="X166" i="2"/>
  <c r="V166" i="2"/>
  <c r="R166" i="2"/>
  <c r="K166" i="2"/>
  <c r="O166" i="2" s="1"/>
  <c r="P166" i="2" s="1"/>
  <c r="AA165" i="2"/>
  <c r="Z165" i="2"/>
  <c r="X165" i="2"/>
  <c r="V165" i="2"/>
  <c r="R165" i="2"/>
  <c r="K165" i="2"/>
  <c r="O165" i="2" s="1"/>
  <c r="P165" i="2" s="1"/>
  <c r="AA164" i="2"/>
  <c r="Z164" i="2"/>
  <c r="X164" i="2"/>
  <c r="V164" i="2"/>
  <c r="R164" i="2"/>
  <c r="K164" i="2"/>
  <c r="O164" i="2" s="1"/>
  <c r="P164" i="2" s="1"/>
  <c r="AA163" i="2"/>
  <c r="Z163" i="2"/>
  <c r="X163" i="2"/>
  <c r="V163" i="2"/>
  <c r="R163" i="2"/>
  <c r="K163" i="2"/>
  <c r="O163" i="2" s="1"/>
  <c r="P163" i="2" s="1"/>
  <c r="AA162" i="2"/>
  <c r="Z162" i="2"/>
  <c r="X162" i="2"/>
  <c r="V162" i="2"/>
  <c r="R162" i="2"/>
  <c r="K162" i="2"/>
  <c r="O162" i="2" s="1"/>
  <c r="P162" i="2" s="1"/>
  <c r="AA161" i="2"/>
  <c r="Z161" i="2"/>
  <c r="X161" i="2"/>
  <c r="V161" i="2"/>
  <c r="R161" i="2"/>
  <c r="K161" i="2"/>
  <c r="O161" i="2" s="1"/>
  <c r="P161" i="2" s="1"/>
  <c r="AA160" i="2"/>
  <c r="Z160" i="2"/>
  <c r="X160" i="2"/>
  <c r="V160" i="2"/>
  <c r="R160" i="2"/>
  <c r="K160" i="2"/>
  <c r="O160" i="2" s="1"/>
  <c r="P160" i="2" s="1"/>
  <c r="AA159" i="2"/>
  <c r="Z159" i="2"/>
  <c r="X159" i="2"/>
  <c r="V159" i="2"/>
  <c r="R159" i="2"/>
  <c r="K159" i="2"/>
  <c r="O159" i="2" s="1"/>
  <c r="P159" i="2" s="1"/>
  <c r="AA158" i="2"/>
  <c r="Z158" i="2"/>
  <c r="X158" i="2"/>
  <c r="V158" i="2"/>
  <c r="R158" i="2"/>
  <c r="K158" i="2"/>
  <c r="O158" i="2" s="1"/>
  <c r="P158" i="2" s="1"/>
  <c r="AA157" i="2"/>
  <c r="Z157" i="2"/>
  <c r="X157" i="2"/>
  <c r="V157" i="2"/>
  <c r="R157" i="2"/>
  <c r="K157" i="2"/>
  <c r="O157" i="2" s="1"/>
  <c r="P157" i="2" s="1"/>
  <c r="AA156" i="2"/>
  <c r="Z156" i="2"/>
  <c r="X156" i="2"/>
  <c r="V156" i="2"/>
  <c r="R156" i="2"/>
  <c r="K156" i="2"/>
  <c r="O156" i="2" s="1"/>
  <c r="P156" i="2" s="1"/>
  <c r="AA155" i="2"/>
  <c r="Z155" i="2"/>
  <c r="X155" i="2"/>
  <c r="V155" i="2"/>
  <c r="R155" i="2"/>
  <c r="K155" i="2"/>
  <c r="O155" i="2" s="1"/>
  <c r="P155" i="2" s="1"/>
  <c r="AA154" i="2"/>
  <c r="Z154" i="2"/>
  <c r="X154" i="2"/>
  <c r="V154" i="2"/>
  <c r="R154" i="2"/>
  <c r="K154" i="2"/>
  <c r="O154" i="2" s="1"/>
  <c r="P154" i="2" s="1"/>
  <c r="AA153" i="2"/>
  <c r="Z153" i="2"/>
  <c r="X153" i="2"/>
  <c r="V153" i="2"/>
  <c r="R153" i="2"/>
  <c r="K153" i="2"/>
  <c r="O153" i="2" s="1"/>
  <c r="P153" i="2" s="1"/>
  <c r="AA152" i="2"/>
  <c r="Z152" i="2"/>
  <c r="X152" i="2"/>
  <c r="V152" i="2"/>
  <c r="R152" i="2"/>
  <c r="K152" i="2"/>
  <c r="O152" i="2" s="1"/>
  <c r="P152" i="2" s="1"/>
  <c r="AA151" i="2"/>
  <c r="Z151" i="2"/>
  <c r="X151" i="2"/>
  <c r="V151" i="2"/>
  <c r="R151" i="2"/>
  <c r="K151" i="2"/>
  <c r="O151" i="2" s="1"/>
  <c r="P151" i="2" s="1"/>
  <c r="AA150" i="2"/>
  <c r="Z150" i="2"/>
  <c r="X150" i="2"/>
  <c r="V150" i="2"/>
  <c r="R150" i="2"/>
  <c r="K150" i="2"/>
  <c r="O150" i="2" s="1"/>
  <c r="P150" i="2" s="1"/>
  <c r="AA149" i="2"/>
  <c r="Z149" i="2"/>
  <c r="X149" i="2"/>
  <c r="V149" i="2"/>
  <c r="R149" i="2"/>
  <c r="K149" i="2"/>
  <c r="O149" i="2" s="1"/>
  <c r="P149" i="2" s="1"/>
  <c r="AA148" i="2"/>
  <c r="Z148" i="2"/>
  <c r="X148" i="2"/>
  <c r="V148" i="2"/>
  <c r="R148" i="2"/>
  <c r="K148" i="2"/>
  <c r="O148" i="2" s="1"/>
  <c r="P148" i="2" s="1"/>
  <c r="AA147" i="2"/>
  <c r="Z147" i="2"/>
  <c r="X147" i="2"/>
  <c r="V147" i="2"/>
  <c r="R147" i="2"/>
  <c r="K147" i="2"/>
  <c r="O147" i="2" s="1"/>
  <c r="P147" i="2" s="1"/>
  <c r="AA146" i="2"/>
  <c r="Z146" i="2"/>
  <c r="X146" i="2"/>
  <c r="V146" i="2"/>
  <c r="R146" i="2"/>
  <c r="K146" i="2"/>
  <c r="O146" i="2" s="1"/>
  <c r="P146" i="2" s="1"/>
  <c r="AA145" i="2"/>
  <c r="Z145" i="2"/>
  <c r="X145" i="2"/>
  <c r="V145" i="2"/>
  <c r="R145" i="2"/>
  <c r="K145" i="2"/>
  <c r="O145" i="2" s="1"/>
  <c r="P145" i="2" s="1"/>
  <c r="AA144" i="2"/>
  <c r="Z144" i="2"/>
  <c r="X144" i="2"/>
  <c r="V144" i="2"/>
  <c r="R144" i="2"/>
  <c r="K144" i="2"/>
  <c r="O144" i="2" s="1"/>
  <c r="P144" i="2" s="1"/>
  <c r="AA143" i="2"/>
  <c r="Z143" i="2"/>
  <c r="X143" i="2"/>
  <c r="V143" i="2"/>
  <c r="R143" i="2"/>
  <c r="K143" i="2"/>
  <c r="O143" i="2" s="1"/>
  <c r="P143" i="2" s="1"/>
  <c r="AA142" i="2"/>
  <c r="Z142" i="2"/>
  <c r="X142" i="2"/>
  <c r="V142" i="2"/>
  <c r="R142" i="2"/>
  <c r="K142" i="2"/>
  <c r="O142" i="2" s="1"/>
  <c r="P142" i="2" s="1"/>
  <c r="AA141" i="2"/>
  <c r="Z141" i="2"/>
  <c r="X141" i="2"/>
  <c r="V141" i="2"/>
  <c r="R141" i="2"/>
  <c r="K141" i="2"/>
  <c r="O141" i="2" s="1"/>
  <c r="P141" i="2" s="1"/>
  <c r="AA140" i="2"/>
  <c r="Z140" i="2"/>
  <c r="X140" i="2"/>
  <c r="V140" i="2"/>
  <c r="R140" i="2"/>
  <c r="K140" i="2"/>
  <c r="O140" i="2" s="1"/>
  <c r="P140" i="2" s="1"/>
  <c r="AA139" i="2"/>
  <c r="Z139" i="2"/>
  <c r="X139" i="2"/>
  <c r="V139" i="2"/>
  <c r="R139" i="2"/>
  <c r="K139" i="2"/>
  <c r="O139" i="2" s="1"/>
  <c r="P139" i="2" s="1"/>
  <c r="AA138" i="2"/>
  <c r="Z138" i="2"/>
  <c r="X138" i="2"/>
  <c r="V138" i="2"/>
  <c r="R138" i="2"/>
  <c r="K138" i="2"/>
  <c r="O138" i="2" s="1"/>
  <c r="P138" i="2" s="1"/>
  <c r="AA137" i="2"/>
  <c r="Z137" i="2"/>
  <c r="X137" i="2"/>
  <c r="V137" i="2"/>
  <c r="R137" i="2"/>
  <c r="K137" i="2"/>
  <c r="O137" i="2" s="1"/>
  <c r="P137" i="2" s="1"/>
  <c r="AA136" i="2"/>
  <c r="Z136" i="2"/>
  <c r="X136" i="2"/>
  <c r="V136" i="2"/>
  <c r="R136" i="2"/>
  <c r="K136" i="2"/>
  <c r="O136" i="2" s="1"/>
  <c r="P136" i="2" s="1"/>
  <c r="AA135" i="2"/>
  <c r="Z135" i="2"/>
  <c r="X135" i="2"/>
  <c r="V135" i="2"/>
  <c r="R135" i="2"/>
  <c r="K135" i="2"/>
  <c r="O135" i="2" s="1"/>
  <c r="P135" i="2" s="1"/>
  <c r="AA134" i="2"/>
  <c r="Z134" i="2"/>
  <c r="X134" i="2"/>
  <c r="V134" i="2"/>
  <c r="R134" i="2"/>
  <c r="K134" i="2"/>
  <c r="O134" i="2" s="1"/>
  <c r="P134" i="2" s="1"/>
  <c r="AA133" i="2"/>
  <c r="Z133" i="2"/>
  <c r="X133" i="2"/>
  <c r="V133" i="2"/>
  <c r="R133" i="2"/>
  <c r="K133" i="2"/>
  <c r="O133" i="2" s="1"/>
  <c r="P133" i="2" s="1"/>
  <c r="AA132" i="2"/>
  <c r="Z132" i="2"/>
  <c r="X132" i="2"/>
  <c r="V132" i="2"/>
  <c r="R132" i="2"/>
  <c r="K132" i="2"/>
  <c r="O132" i="2" s="1"/>
  <c r="P132" i="2" s="1"/>
  <c r="AA131" i="2"/>
  <c r="Z131" i="2"/>
  <c r="X131" i="2"/>
  <c r="V131" i="2"/>
  <c r="R131" i="2"/>
  <c r="K131" i="2"/>
  <c r="O131" i="2" s="1"/>
  <c r="P131" i="2" s="1"/>
  <c r="AA130" i="2"/>
  <c r="Z130" i="2"/>
  <c r="X130" i="2"/>
  <c r="V130" i="2"/>
  <c r="R130" i="2"/>
  <c r="K130" i="2"/>
  <c r="O130" i="2" s="1"/>
  <c r="P130" i="2" s="1"/>
  <c r="AA129" i="2"/>
  <c r="Z129" i="2"/>
  <c r="X129" i="2"/>
  <c r="V129" i="2"/>
  <c r="R129" i="2"/>
  <c r="K129" i="2"/>
  <c r="O129" i="2" s="1"/>
  <c r="P129" i="2" s="1"/>
  <c r="AA128" i="2"/>
  <c r="Z128" i="2"/>
  <c r="X128" i="2"/>
  <c r="V128" i="2"/>
  <c r="R128" i="2"/>
  <c r="K128" i="2"/>
  <c r="O128" i="2" s="1"/>
  <c r="P128" i="2" s="1"/>
  <c r="AA127" i="2"/>
  <c r="Z127" i="2"/>
  <c r="X127" i="2"/>
  <c r="V127" i="2"/>
  <c r="R127" i="2"/>
  <c r="K127" i="2"/>
  <c r="O127" i="2" s="1"/>
  <c r="P127" i="2" s="1"/>
  <c r="AA126" i="2"/>
  <c r="Z126" i="2"/>
  <c r="X126" i="2"/>
  <c r="V126" i="2"/>
  <c r="R126" i="2"/>
  <c r="K126" i="2"/>
  <c r="O126" i="2" s="1"/>
  <c r="P126" i="2" s="1"/>
  <c r="AA125" i="2"/>
  <c r="Z125" i="2"/>
  <c r="X125" i="2"/>
  <c r="V125" i="2"/>
  <c r="R125" i="2"/>
  <c r="K125" i="2"/>
  <c r="O125" i="2" s="1"/>
  <c r="P125" i="2" s="1"/>
  <c r="AA124" i="2"/>
  <c r="Z124" i="2"/>
  <c r="X124" i="2"/>
  <c r="V124" i="2"/>
  <c r="R124" i="2"/>
  <c r="K124" i="2"/>
  <c r="O124" i="2" s="1"/>
  <c r="P124" i="2" s="1"/>
  <c r="AA123" i="2"/>
  <c r="Z123" i="2"/>
  <c r="X123" i="2"/>
  <c r="V123" i="2"/>
  <c r="R123" i="2"/>
  <c r="K123" i="2"/>
  <c r="O123" i="2" s="1"/>
  <c r="P123" i="2" s="1"/>
  <c r="AA122" i="2"/>
  <c r="Z122" i="2"/>
  <c r="X122" i="2"/>
  <c r="V122" i="2"/>
  <c r="R122" i="2"/>
  <c r="K122" i="2"/>
  <c r="O122" i="2" s="1"/>
  <c r="P122" i="2" s="1"/>
  <c r="AA121" i="2"/>
  <c r="Z121" i="2"/>
  <c r="X121" i="2"/>
  <c r="V121" i="2"/>
  <c r="R121" i="2"/>
  <c r="K121" i="2"/>
  <c r="O121" i="2" s="1"/>
  <c r="P121" i="2" s="1"/>
  <c r="AA120" i="2"/>
  <c r="Z120" i="2"/>
  <c r="X120" i="2"/>
  <c r="V120" i="2"/>
  <c r="R120" i="2"/>
  <c r="K120" i="2"/>
  <c r="O120" i="2" s="1"/>
  <c r="P120" i="2" s="1"/>
  <c r="AA119" i="2"/>
  <c r="Z119" i="2"/>
  <c r="X119" i="2"/>
  <c r="V119" i="2"/>
  <c r="R119" i="2"/>
  <c r="K119" i="2"/>
  <c r="O119" i="2" s="1"/>
  <c r="P119" i="2" s="1"/>
  <c r="AA118" i="2"/>
  <c r="Z118" i="2"/>
  <c r="X118" i="2"/>
  <c r="V118" i="2"/>
  <c r="R118" i="2"/>
  <c r="K118" i="2"/>
  <c r="O118" i="2" s="1"/>
  <c r="P118" i="2" s="1"/>
  <c r="AA117" i="2"/>
  <c r="Z117" i="2"/>
  <c r="X117" i="2"/>
  <c r="V117" i="2"/>
  <c r="R117" i="2"/>
  <c r="K117" i="2"/>
  <c r="O117" i="2" s="1"/>
  <c r="P117" i="2" s="1"/>
  <c r="AA116" i="2"/>
  <c r="Z116" i="2"/>
  <c r="X116" i="2"/>
  <c r="V116" i="2"/>
  <c r="R116" i="2"/>
  <c r="K116" i="2"/>
  <c r="O116" i="2" s="1"/>
  <c r="P116" i="2" s="1"/>
  <c r="AA115" i="2"/>
  <c r="Z115" i="2"/>
  <c r="X115" i="2"/>
  <c r="V115" i="2"/>
  <c r="R115" i="2"/>
  <c r="K115" i="2"/>
  <c r="O115" i="2" s="1"/>
  <c r="P115" i="2" s="1"/>
  <c r="AA114" i="2"/>
  <c r="Z114" i="2"/>
  <c r="X114" i="2"/>
  <c r="V114" i="2"/>
  <c r="R114" i="2"/>
  <c r="K114" i="2"/>
  <c r="O114" i="2" s="1"/>
  <c r="P114" i="2" s="1"/>
  <c r="AA113" i="2"/>
  <c r="Z113" i="2"/>
  <c r="X113" i="2"/>
  <c r="V113" i="2"/>
  <c r="R113" i="2"/>
  <c r="K113" i="2"/>
  <c r="O113" i="2" s="1"/>
  <c r="P113" i="2" s="1"/>
  <c r="AA112" i="2"/>
  <c r="Z112" i="2"/>
  <c r="X112" i="2"/>
  <c r="V112" i="2"/>
  <c r="R112" i="2"/>
  <c r="K112" i="2"/>
  <c r="O112" i="2" s="1"/>
  <c r="P112" i="2" s="1"/>
  <c r="AA111" i="2"/>
  <c r="Z111" i="2"/>
  <c r="X111" i="2"/>
  <c r="V111" i="2"/>
  <c r="R111" i="2"/>
  <c r="K111" i="2"/>
  <c r="O111" i="2" s="1"/>
  <c r="P111" i="2" s="1"/>
  <c r="AA110" i="2"/>
  <c r="Z110" i="2"/>
  <c r="X110" i="2"/>
  <c r="V110" i="2"/>
  <c r="R110" i="2"/>
  <c r="K110" i="2"/>
  <c r="O110" i="2" s="1"/>
  <c r="P110" i="2" s="1"/>
  <c r="AA109" i="2"/>
  <c r="Z109" i="2"/>
  <c r="X109" i="2"/>
  <c r="V109" i="2"/>
  <c r="R109" i="2"/>
  <c r="K109" i="2"/>
  <c r="O109" i="2" s="1"/>
  <c r="P109" i="2" s="1"/>
  <c r="AA108" i="2"/>
  <c r="Z108" i="2"/>
  <c r="X108" i="2"/>
  <c r="V108" i="2"/>
  <c r="R108" i="2"/>
  <c r="K108" i="2"/>
  <c r="O108" i="2" s="1"/>
  <c r="P108" i="2" s="1"/>
  <c r="AA107" i="2"/>
  <c r="Z107" i="2"/>
  <c r="X107" i="2"/>
  <c r="V107" i="2"/>
  <c r="R107" i="2"/>
  <c r="K107" i="2"/>
  <c r="O107" i="2" s="1"/>
  <c r="P107" i="2" s="1"/>
  <c r="AA106" i="2"/>
  <c r="Z106" i="2"/>
  <c r="X106" i="2"/>
  <c r="V106" i="2"/>
  <c r="R106" i="2"/>
  <c r="K106" i="2"/>
  <c r="O106" i="2" s="1"/>
  <c r="P106" i="2" s="1"/>
  <c r="AA105" i="2"/>
  <c r="Z105" i="2"/>
  <c r="X105" i="2"/>
  <c r="V105" i="2"/>
  <c r="R105" i="2"/>
  <c r="K105" i="2"/>
  <c r="O105" i="2" s="1"/>
  <c r="P105" i="2" s="1"/>
  <c r="AA104" i="2"/>
  <c r="Z104" i="2"/>
  <c r="X104" i="2"/>
  <c r="V104" i="2"/>
  <c r="R104" i="2"/>
  <c r="K104" i="2"/>
  <c r="O104" i="2" s="1"/>
  <c r="P104" i="2" s="1"/>
  <c r="AA103" i="2"/>
  <c r="Z103" i="2"/>
  <c r="X103" i="2"/>
  <c r="V103" i="2"/>
  <c r="R103" i="2"/>
  <c r="K103" i="2"/>
  <c r="O103" i="2" s="1"/>
  <c r="P103" i="2" s="1"/>
  <c r="AA102" i="2"/>
  <c r="Z102" i="2"/>
  <c r="X102" i="2"/>
  <c r="V102" i="2"/>
  <c r="R102" i="2"/>
  <c r="K102" i="2"/>
  <c r="O102" i="2" s="1"/>
  <c r="P102" i="2" s="1"/>
  <c r="AA101" i="2"/>
  <c r="Z101" i="2"/>
  <c r="X101" i="2"/>
  <c r="V101" i="2"/>
  <c r="R101" i="2"/>
  <c r="K101" i="2"/>
  <c r="O101" i="2" s="1"/>
  <c r="P101" i="2" s="1"/>
  <c r="AA100" i="2"/>
  <c r="Z100" i="2"/>
  <c r="X100" i="2"/>
  <c r="V100" i="2"/>
  <c r="R100" i="2"/>
  <c r="K100" i="2"/>
  <c r="O100" i="2" s="1"/>
  <c r="P100" i="2" s="1"/>
  <c r="AA99" i="2"/>
  <c r="Z99" i="2"/>
  <c r="X99" i="2"/>
  <c r="V99" i="2"/>
  <c r="R99" i="2"/>
  <c r="K99" i="2"/>
  <c r="O99" i="2" s="1"/>
  <c r="P99" i="2" s="1"/>
  <c r="AA98" i="2"/>
  <c r="Z98" i="2"/>
  <c r="X98" i="2"/>
  <c r="V98" i="2"/>
  <c r="R98" i="2"/>
  <c r="K98" i="2"/>
  <c r="O98" i="2" s="1"/>
  <c r="P98" i="2" s="1"/>
  <c r="AA97" i="2"/>
  <c r="Z97" i="2"/>
  <c r="X97" i="2"/>
  <c r="V97" i="2"/>
  <c r="R97" i="2"/>
  <c r="K97" i="2"/>
  <c r="O97" i="2" s="1"/>
  <c r="P97" i="2" s="1"/>
  <c r="AA96" i="2"/>
  <c r="Z96" i="2"/>
  <c r="X96" i="2"/>
  <c r="V96" i="2"/>
  <c r="R96" i="2"/>
  <c r="K96" i="2"/>
  <c r="O96" i="2" s="1"/>
  <c r="P96" i="2" s="1"/>
  <c r="AA95" i="2"/>
  <c r="Z95" i="2"/>
  <c r="X95" i="2"/>
  <c r="V95" i="2"/>
  <c r="R95" i="2"/>
  <c r="K95" i="2"/>
  <c r="O95" i="2" s="1"/>
  <c r="P95" i="2" s="1"/>
  <c r="AA94" i="2"/>
  <c r="Z94" i="2"/>
  <c r="X94" i="2"/>
  <c r="V94" i="2"/>
  <c r="R94" i="2"/>
  <c r="K94" i="2"/>
  <c r="O94" i="2" s="1"/>
  <c r="P94" i="2" s="1"/>
  <c r="AA93" i="2"/>
  <c r="Z93" i="2"/>
  <c r="X93" i="2"/>
  <c r="V93" i="2"/>
  <c r="R93" i="2"/>
  <c r="K93" i="2"/>
  <c r="O93" i="2" s="1"/>
  <c r="P93" i="2" s="1"/>
  <c r="AA92" i="2"/>
  <c r="Z92" i="2"/>
  <c r="X92" i="2"/>
  <c r="V92" i="2"/>
  <c r="R92" i="2"/>
  <c r="K92" i="2"/>
  <c r="O92" i="2" s="1"/>
  <c r="P92" i="2" s="1"/>
  <c r="AA91" i="2"/>
  <c r="Z91" i="2"/>
  <c r="X91" i="2"/>
  <c r="V91" i="2"/>
  <c r="R91" i="2"/>
  <c r="K91" i="2"/>
  <c r="O91" i="2" s="1"/>
  <c r="P91" i="2" s="1"/>
  <c r="AA90" i="2"/>
  <c r="Z90" i="2"/>
  <c r="X90" i="2"/>
  <c r="V90" i="2"/>
  <c r="R90" i="2"/>
  <c r="K90" i="2"/>
  <c r="O90" i="2" s="1"/>
  <c r="P90" i="2" s="1"/>
  <c r="AA89" i="2"/>
  <c r="Z89" i="2"/>
  <c r="X89" i="2"/>
  <c r="V89" i="2"/>
  <c r="R89" i="2"/>
  <c r="K89" i="2"/>
  <c r="O89" i="2" s="1"/>
  <c r="P89" i="2" s="1"/>
  <c r="AA88" i="2"/>
  <c r="Z88" i="2"/>
  <c r="X88" i="2"/>
  <c r="V88" i="2"/>
  <c r="R88" i="2"/>
  <c r="K88" i="2"/>
  <c r="O88" i="2" s="1"/>
  <c r="P88" i="2" s="1"/>
  <c r="AA87" i="2"/>
  <c r="Z87" i="2"/>
  <c r="X87" i="2"/>
  <c r="V87" i="2"/>
  <c r="R87" i="2"/>
  <c r="K87" i="2"/>
  <c r="O87" i="2" s="1"/>
  <c r="P87" i="2" s="1"/>
  <c r="AA86" i="2"/>
  <c r="Z86" i="2"/>
  <c r="X86" i="2"/>
  <c r="V86" i="2"/>
  <c r="R86" i="2"/>
  <c r="K86" i="2"/>
  <c r="O86" i="2" s="1"/>
  <c r="P86" i="2" s="1"/>
  <c r="AA85" i="2"/>
  <c r="Z85" i="2"/>
  <c r="X85" i="2"/>
  <c r="V85" i="2"/>
  <c r="R85" i="2"/>
  <c r="K85" i="2"/>
  <c r="O85" i="2" s="1"/>
  <c r="P85" i="2" s="1"/>
  <c r="AA84" i="2"/>
  <c r="Z84" i="2"/>
  <c r="X84" i="2"/>
  <c r="V84" i="2"/>
  <c r="R84" i="2"/>
  <c r="K84" i="2"/>
  <c r="O84" i="2" s="1"/>
  <c r="P84" i="2" s="1"/>
  <c r="AA83" i="2"/>
  <c r="Z83" i="2"/>
  <c r="X83" i="2"/>
  <c r="V83" i="2"/>
  <c r="R83" i="2"/>
  <c r="K83" i="2"/>
  <c r="O83" i="2" s="1"/>
  <c r="P83" i="2" s="1"/>
  <c r="AA82" i="2"/>
  <c r="Z82" i="2"/>
  <c r="X82" i="2"/>
  <c r="V82" i="2"/>
  <c r="R82" i="2"/>
  <c r="K82" i="2"/>
  <c r="O82" i="2" s="1"/>
  <c r="P82" i="2" s="1"/>
  <c r="AA81" i="2"/>
  <c r="Z81" i="2"/>
  <c r="X81" i="2"/>
  <c r="V81" i="2"/>
  <c r="R81" i="2"/>
  <c r="K81" i="2"/>
  <c r="O81" i="2" s="1"/>
  <c r="P81" i="2" s="1"/>
  <c r="AA80" i="2"/>
  <c r="Z80" i="2"/>
  <c r="X80" i="2"/>
  <c r="V80" i="2"/>
  <c r="R80" i="2"/>
  <c r="K80" i="2"/>
  <c r="O80" i="2" s="1"/>
  <c r="P80" i="2" s="1"/>
  <c r="AA79" i="2"/>
  <c r="Z79" i="2"/>
  <c r="X79" i="2"/>
  <c r="V79" i="2"/>
  <c r="R79" i="2"/>
  <c r="K79" i="2"/>
  <c r="O79" i="2" s="1"/>
  <c r="P79" i="2" s="1"/>
  <c r="AA78" i="2"/>
  <c r="Z78" i="2"/>
  <c r="X78" i="2"/>
  <c r="V78" i="2"/>
  <c r="R78" i="2"/>
  <c r="K78" i="2"/>
  <c r="O78" i="2" s="1"/>
  <c r="P78" i="2" s="1"/>
  <c r="AA77" i="2"/>
  <c r="Z77" i="2"/>
  <c r="X77" i="2"/>
  <c r="V77" i="2"/>
  <c r="R77" i="2"/>
  <c r="K77" i="2"/>
  <c r="O77" i="2" s="1"/>
  <c r="P77" i="2" s="1"/>
  <c r="AA76" i="2"/>
  <c r="Z76" i="2"/>
  <c r="X76" i="2"/>
  <c r="V76" i="2"/>
  <c r="R76" i="2"/>
  <c r="K76" i="2"/>
  <c r="O76" i="2" s="1"/>
  <c r="P76" i="2" s="1"/>
  <c r="AA75" i="2"/>
  <c r="Z75" i="2"/>
  <c r="X75" i="2"/>
  <c r="V75" i="2"/>
  <c r="R75" i="2"/>
  <c r="K75" i="2"/>
  <c r="O75" i="2" s="1"/>
  <c r="P75" i="2" s="1"/>
  <c r="AA74" i="2"/>
  <c r="Z74" i="2"/>
  <c r="X74" i="2"/>
  <c r="V74" i="2"/>
  <c r="R74" i="2"/>
  <c r="K74" i="2"/>
  <c r="O74" i="2" s="1"/>
  <c r="P74" i="2" s="1"/>
  <c r="AA73" i="2"/>
  <c r="Z73" i="2"/>
  <c r="X73" i="2"/>
  <c r="V73" i="2"/>
  <c r="R73" i="2"/>
  <c r="K73" i="2"/>
  <c r="O73" i="2" s="1"/>
  <c r="P73" i="2" s="1"/>
  <c r="AA72" i="2"/>
  <c r="Z72" i="2"/>
  <c r="X72" i="2"/>
  <c r="V72" i="2"/>
  <c r="R72" i="2"/>
  <c r="K72" i="2"/>
  <c r="O72" i="2" s="1"/>
  <c r="P72" i="2" s="1"/>
  <c r="AA71" i="2"/>
  <c r="Z71" i="2"/>
  <c r="X71" i="2"/>
  <c r="V71" i="2"/>
  <c r="R71" i="2"/>
  <c r="K71" i="2"/>
  <c r="O71" i="2" s="1"/>
  <c r="P71" i="2" s="1"/>
  <c r="AA70" i="2"/>
  <c r="Z70" i="2"/>
  <c r="X70" i="2"/>
  <c r="V70" i="2"/>
  <c r="R70" i="2"/>
  <c r="K70" i="2"/>
  <c r="O70" i="2" s="1"/>
  <c r="P70" i="2" s="1"/>
  <c r="AA69" i="2"/>
  <c r="Z69" i="2"/>
  <c r="X69" i="2"/>
  <c r="V69" i="2"/>
  <c r="R69" i="2"/>
  <c r="K69" i="2"/>
  <c r="O69" i="2" s="1"/>
  <c r="P69" i="2" s="1"/>
  <c r="AA68" i="2"/>
  <c r="Z68" i="2"/>
  <c r="X68" i="2"/>
  <c r="V68" i="2"/>
  <c r="R68" i="2"/>
  <c r="K68" i="2"/>
  <c r="O68" i="2" s="1"/>
  <c r="P68" i="2" s="1"/>
  <c r="AA67" i="2"/>
  <c r="Z67" i="2"/>
  <c r="X67" i="2"/>
  <c r="V67" i="2"/>
  <c r="R67" i="2"/>
  <c r="K67" i="2"/>
  <c r="O67" i="2" s="1"/>
  <c r="P67" i="2" s="1"/>
  <c r="AA66" i="2"/>
  <c r="Z66" i="2"/>
  <c r="X66" i="2"/>
  <c r="V66" i="2"/>
  <c r="R66" i="2"/>
  <c r="K66" i="2"/>
  <c r="O66" i="2" s="1"/>
  <c r="P66" i="2" s="1"/>
  <c r="AA65" i="2"/>
  <c r="Z65" i="2"/>
  <c r="X65" i="2"/>
  <c r="V65" i="2"/>
  <c r="R65" i="2"/>
  <c r="K65" i="2"/>
  <c r="O65" i="2" s="1"/>
  <c r="P65" i="2" s="1"/>
  <c r="AA64" i="2"/>
  <c r="Z64" i="2"/>
  <c r="X64" i="2"/>
  <c r="V64" i="2"/>
  <c r="R64" i="2"/>
  <c r="K64" i="2"/>
  <c r="O64" i="2" s="1"/>
  <c r="P64" i="2" s="1"/>
  <c r="AA63" i="2"/>
  <c r="Z63" i="2"/>
  <c r="X63" i="2"/>
  <c r="V63" i="2"/>
  <c r="R63" i="2"/>
  <c r="K63" i="2"/>
  <c r="O63" i="2" s="1"/>
  <c r="P63" i="2" s="1"/>
  <c r="AA62" i="2"/>
  <c r="Z62" i="2"/>
  <c r="X62" i="2"/>
  <c r="V62" i="2"/>
  <c r="R62" i="2"/>
  <c r="K62" i="2"/>
  <c r="O62" i="2" s="1"/>
  <c r="P62" i="2" s="1"/>
  <c r="AA61" i="2"/>
  <c r="Z61" i="2"/>
  <c r="X61" i="2"/>
  <c r="V61" i="2"/>
  <c r="R61" i="2"/>
  <c r="K61" i="2"/>
  <c r="O61" i="2" s="1"/>
  <c r="P61" i="2" s="1"/>
  <c r="AA60" i="2"/>
  <c r="Z60" i="2"/>
  <c r="X60" i="2"/>
  <c r="V60" i="2"/>
  <c r="R60" i="2"/>
  <c r="K60" i="2"/>
  <c r="O60" i="2" s="1"/>
  <c r="P60" i="2" s="1"/>
  <c r="AA59" i="2"/>
  <c r="Z59" i="2"/>
  <c r="X59" i="2"/>
  <c r="V59" i="2"/>
  <c r="R59" i="2"/>
  <c r="K59" i="2"/>
  <c r="O59" i="2" s="1"/>
  <c r="P59" i="2" s="1"/>
  <c r="AA58" i="2"/>
  <c r="Z58" i="2"/>
  <c r="X58" i="2"/>
  <c r="V58" i="2"/>
  <c r="R58" i="2"/>
  <c r="K58" i="2"/>
  <c r="O58" i="2" s="1"/>
  <c r="P58" i="2" s="1"/>
  <c r="AA57" i="2"/>
  <c r="Z57" i="2"/>
  <c r="X57" i="2"/>
  <c r="V57" i="2"/>
  <c r="R57" i="2"/>
  <c r="K57" i="2"/>
  <c r="O57" i="2" s="1"/>
  <c r="P57" i="2" s="1"/>
  <c r="AA56" i="2"/>
  <c r="Z56" i="2"/>
  <c r="X56" i="2"/>
  <c r="V56" i="2"/>
  <c r="R56" i="2"/>
  <c r="K56" i="2"/>
  <c r="O56" i="2" s="1"/>
  <c r="P56" i="2" s="1"/>
  <c r="AA55" i="2"/>
  <c r="Z55" i="2"/>
  <c r="X55" i="2"/>
  <c r="V55" i="2"/>
  <c r="R55" i="2"/>
  <c r="K55" i="2"/>
  <c r="O55" i="2" s="1"/>
  <c r="P55" i="2" s="1"/>
  <c r="AA54" i="2"/>
  <c r="Z54" i="2"/>
  <c r="X54" i="2"/>
  <c r="V54" i="2"/>
  <c r="R54" i="2"/>
  <c r="K54" i="2"/>
  <c r="O54" i="2" s="1"/>
  <c r="P54" i="2" s="1"/>
  <c r="AA53" i="2"/>
  <c r="Z53" i="2"/>
  <c r="X53" i="2"/>
  <c r="V53" i="2"/>
  <c r="R53" i="2"/>
  <c r="K53" i="2"/>
  <c r="O53" i="2" s="1"/>
  <c r="P53" i="2" s="1"/>
  <c r="AA52" i="2"/>
  <c r="Z52" i="2"/>
  <c r="X52" i="2"/>
  <c r="V52" i="2"/>
  <c r="R52" i="2"/>
  <c r="K52" i="2"/>
  <c r="O52" i="2" s="1"/>
  <c r="P52" i="2" s="1"/>
  <c r="AA51" i="2"/>
  <c r="Z51" i="2"/>
  <c r="X51" i="2"/>
  <c r="V51" i="2"/>
  <c r="R51" i="2"/>
  <c r="K51" i="2"/>
  <c r="O51" i="2" s="1"/>
  <c r="P51" i="2" s="1"/>
  <c r="AA50" i="2"/>
  <c r="Z50" i="2"/>
  <c r="X50" i="2"/>
  <c r="V50" i="2"/>
  <c r="R50" i="2"/>
  <c r="K50" i="2"/>
  <c r="O50" i="2" s="1"/>
  <c r="P50" i="2" s="1"/>
  <c r="AA49" i="2"/>
  <c r="Z49" i="2"/>
  <c r="X49" i="2"/>
  <c r="V49" i="2"/>
  <c r="R49" i="2"/>
  <c r="K49" i="2"/>
  <c r="O49" i="2" s="1"/>
  <c r="P49" i="2" s="1"/>
  <c r="AA48" i="2"/>
  <c r="Z48" i="2"/>
  <c r="X48" i="2"/>
  <c r="V48" i="2"/>
  <c r="R48" i="2"/>
  <c r="K48" i="2"/>
  <c r="O48" i="2" s="1"/>
  <c r="P48" i="2" s="1"/>
  <c r="AA47" i="2"/>
  <c r="Z47" i="2"/>
  <c r="X47" i="2"/>
  <c r="V47" i="2"/>
  <c r="R47" i="2"/>
  <c r="K47" i="2"/>
  <c r="O47" i="2" s="1"/>
  <c r="P47" i="2" s="1"/>
  <c r="AA46" i="2"/>
  <c r="Z46" i="2"/>
  <c r="X46" i="2"/>
  <c r="V46" i="2"/>
  <c r="R46" i="2"/>
  <c r="K46" i="2"/>
  <c r="O46" i="2" s="1"/>
  <c r="P46" i="2" s="1"/>
  <c r="AA45" i="2"/>
  <c r="Z45" i="2"/>
  <c r="X45" i="2"/>
  <c r="V45" i="2"/>
  <c r="R45" i="2"/>
  <c r="K45" i="2"/>
  <c r="O45" i="2" s="1"/>
  <c r="P45" i="2" s="1"/>
  <c r="AA44" i="2"/>
  <c r="Z44" i="2"/>
  <c r="X44" i="2"/>
  <c r="V44" i="2"/>
  <c r="R44" i="2"/>
  <c r="K44" i="2"/>
  <c r="O44" i="2" s="1"/>
  <c r="P44" i="2" s="1"/>
  <c r="AA43" i="2"/>
  <c r="Z43" i="2"/>
  <c r="X43" i="2"/>
  <c r="V43" i="2"/>
  <c r="R43" i="2"/>
  <c r="K43" i="2"/>
  <c r="O43" i="2" s="1"/>
  <c r="P43" i="2" s="1"/>
  <c r="AA42" i="2"/>
  <c r="Z42" i="2"/>
  <c r="X42" i="2"/>
  <c r="V42" i="2"/>
  <c r="R42" i="2"/>
  <c r="K42" i="2"/>
  <c r="O42" i="2" s="1"/>
  <c r="P42" i="2" s="1"/>
  <c r="AA41" i="2"/>
  <c r="Z41" i="2"/>
  <c r="X41" i="2"/>
  <c r="V41" i="2"/>
  <c r="R41" i="2"/>
  <c r="K41" i="2"/>
  <c r="O41" i="2" s="1"/>
  <c r="P41" i="2" s="1"/>
  <c r="AA40" i="2"/>
  <c r="Z40" i="2"/>
  <c r="X40" i="2"/>
  <c r="V40" i="2"/>
  <c r="R40" i="2"/>
  <c r="K40" i="2"/>
  <c r="O40" i="2" s="1"/>
  <c r="P40" i="2" s="1"/>
  <c r="AA39" i="2"/>
  <c r="Z39" i="2"/>
  <c r="X39" i="2"/>
  <c r="V39" i="2"/>
  <c r="R39" i="2"/>
  <c r="K39" i="2"/>
  <c r="O39" i="2" s="1"/>
  <c r="P39" i="2" s="1"/>
  <c r="AA38" i="2"/>
  <c r="Z38" i="2"/>
  <c r="X38" i="2"/>
  <c r="V38" i="2"/>
  <c r="R38" i="2"/>
  <c r="K38" i="2"/>
  <c r="O38" i="2" s="1"/>
  <c r="P38" i="2" s="1"/>
  <c r="AA37" i="2"/>
  <c r="Z37" i="2"/>
  <c r="X37" i="2"/>
  <c r="V37" i="2"/>
  <c r="R37" i="2"/>
  <c r="K37" i="2"/>
  <c r="O37" i="2" s="1"/>
  <c r="P37" i="2" s="1"/>
  <c r="AA36" i="2"/>
  <c r="Z36" i="2"/>
  <c r="X36" i="2"/>
  <c r="V36" i="2"/>
  <c r="R36" i="2"/>
  <c r="K36" i="2"/>
  <c r="O36" i="2" s="1"/>
  <c r="P36" i="2" s="1"/>
  <c r="AA35" i="2"/>
  <c r="Z35" i="2"/>
  <c r="X35" i="2"/>
  <c r="V35" i="2"/>
  <c r="R35" i="2"/>
  <c r="K35" i="2"/>
  <c r="O35" i="2" s="1"/>
  <c r="P35" i="2" s="1"/>
  <c r="AA34" i="2"/>
  <c r="Z34" i="2"/>
  <c r="X34" i="2"/>
  <c r="V34" i="2"/>
  <c r="R34" i="2"/>
  <c r="K34" i="2"/>
  <c r="O34" i="2" s="1"/>
  <c r="P34" i="2" s="1"/>
  <c r="AA33" i="2"/>
  <c r="Z33" i="2"/>
  <c r="X33" i="2"/>
  <c r="V33" i="2"/>
  <c r="R33" i="2"/>
  <c r="K33" i="2"/>
  <c r="O33" i="2" s="1"/>
  <c r="P33" i="2" s="1"/>
  <c r="AA32" i="2"/>
  <c r="Z32" i="2"/>
  <c r="X32" i="2"/>
  <c r="V32" i="2"/>
  <c r="R32" i="2"/>
  <c r="K32" i="2"/>
  <c r="O32" i="2" s="1"/>
  <c r="P32" i="2" s="1"/>
  <c r="AA31" i="2"/>
  <c r="Z31" i="2"/>
  <c r="X31" i="2"/>
  <c r="V31" i="2"/>
  <c r="R31" i="2"/>
  <c r="K31" i="2"/>
  <c r="O31" i="2" s="1"/>
  <c r="P31" i="2" s="1"/>
  <c r="AA30" i="2"/>
  <c r="Z30" i="2"/>
  <c r="X30" i="2"/>
  <c r="V30" i="2"/>
  <c r="R30" i="2"/>
  <c r="K30" i="2"/>
  <c r="O30" i="2" s="1"/>
  <c r="P30" i="2" s="1"/>
  <c r="AA29" i="2"/>
  <c r="Z29" i="2"/>
  <c r="X29" i="2"/>
  <c r="V29" i="2"/>
  <c r="R29" i="2"/>
  <c r="K29" i="2"/>
  <c r="O29" i="2" s="1"/>
  <c r="P29" i="2" s="1"/>
  <c r="AA28" i="2"/>
  <c r="Z28" i="2"/>
  <c r="X28" i="2"/>
  <c r="V28" i="2"/>
  <c r="R28" i="2"/>
  <c r="K28" i="2"/>
  <c r="O28" i="2" s="1"/>
  <c r="P28" i="2" s="1"/>
  <c r="AA27" i="2"/>
  <c r="Z27" i="2"/>
  <c r="X27" i="2"/>
  <c r="V27" i="2"/>
  <c r="R27" i="2"/>
  <c r="K27" i="2"/>
  <c r="O27" i="2" s="1"/>
  <c r="P27" i="2" s="1"/>
  <c r="AA26" i="2"/>
  <c r="Z26" i="2"/>
  <c r="X26" i="2"/>
  <c r="V26" i="2"/>
  <c r="R26" i="2"/>
  <c r="K26" i="2"/>
  <c r="O26" i="2" s="1"/>
  <c r="P26" i="2" s="1"/>
  <c r="AA25" i="2"/>
  <c r="Z25" i="2"/>
  <c r="X25" i="2"/>
  <c r="V25" i="2"/>
  <c r="R25" i="2"/>
  <c r="K25" i="2"/>
  <c r="O25" i="2" s="1"/>
  <c r="P25" i="2" s="1"/>
  <c r="AA24" i="2"/>
  <c r="Z24" i="2"/>
  <c r="X24" i="2"/>
  <c r="V24" i="2"/>
  <c r="R24" i="2"/>
  <c r="K24" i="2"/>
  <c r="O24" i="2" s="1"/>
  <c r="P24" i="2" s="1"/>
  <c r="AA23" i="2"/>
  <c r="Z23" i="2"/>
  <c r="X23" i="2"/>
  <c r="V23" i="2"/>
  <c r="R23" i="2"/>
  <c r="K23" i="2"/>
  <c r="O23" i="2" s="1"/>
  <c r="P23" i="2" s="1"/>
  <c r="AA22" i="2"/>
  <c r="Z22" i="2"/>
  <c r="X22" i="2"/>
  <c r="V22" i="2"/>
  <c r="R22" i="2"/>
  <c r="K22" i="2"/>
  <c r="O22" i="2" s="1"/>
  <c r="P22" i="2" s="1"/>
  <c r="AA21" i="2"/>
  <c r="Z21" i="2"/>
  <c r="X21" i="2"/>
  <c r="V21" i="2"/>
  <c r="R21" i="2"/>
  <c r="K21" i="2"/>
  <c r="O21" i="2" s="1"/>
  <c r="P21" i="2" s="1"/>
  <c r="AA20" i="2"/>
  <c r="Z20" i="2"/>
  <c r="X20" i="2"/>
  <c r="V20" i="2"/>
  <c r="R20" i="2"/>
  <c r="K20" i="2"/>
  <c r="O20" i="2" s="1"/>
  <c r="P20" i="2" s="1"/>
  <c r="AA19" i="2"/>
  <c r="Z19" i="2"/>
  <c r="X19" i="2"/>
  <c r="V19" i="2"/>
  <c r="R19" i="2"/>
  <c r="K19" i="2"/>
  <c r="O19" i="2" s="1"/>
  <c r="P19" i="2" s="1"/>
  <c r="AA18" i="2"/>
  <c r="Z18" i="2"/>
  <c r="X18" i="2"/>
  <c r="V18" i="2"/>
  <c r="R18" i="2"/>
  <c r="K18" i="2"/>
  <c r="O18" i="2" s="1"/>
  <c r="P18" i="2" s="1"/>
  <c r="AA17" i="2"/>
  <c r="Z17" i="2"/>
  <c r="X17" i="2"/>
  <c r="V17" i="2"/>
  <c r="R17" i="2"/>
  <c r="K17" i="2"/>
  <c r="O17" i="2" s="1"/>
  <c r="P17" i="2" s="1"/>
  <c r="AA16" i="2"/>
  <c r="Z16" i="2"/>
  <c r="X16" i="2"/>
  <c r="V16" i="2"/>
  <c r="R16" i="2"/>
  <c r="K16" i="2"/>
  <c r="O16" i="2" s="1"/>
  <c r="P16" i="2" s="1"/>
  <c r="AA15" i="2"/>
  <c r="Z15" i="2"/>
  <c r="X15" i="2"/>
  <c r="V15" i="2"/>
  <c r="R15" i="2"/>
  <c r="K15" i="2"/>
  <c r="O15" i="2" s="1"/>
  <c r="P15" i="2" s="1"/>
  <c r="AA14" i="2"/>
  <c r="Z14" i="2"/>
  <c r="X14" i="2"/>
  <c r="V14" i="2"/>
  <c r="R14" i="2"/>
  <c r="K14" i="2"/>
  <c r="O14" i="2" s="1"/>
  <c r="P14" i="2" s="1"/>
  <c r="AA13" i="2"/>
  <c r="Z13" i="2"/>
  <c r="X13" i="2"/>
  <c r="V13" i="2"/>
  <c r="R13" i="2"/>
  <c r="K13" i="2"/>
  <c r="O13" i="2" s="1"/>
  <c r="P13" i="2" s="1"/>
  <c r="AA12" i="2"/>
  <c r="Z12" i="2"/>
  <c r="X12" i="2"/>
  <c r="V12" i="2"/>
  <c r="R12" i="2"/>
  <c r="K12" i="2"/>
  <c r="O12" i="2" s="1"/>
  <c r="P12" i="2" s="1"/>
  <c r="AA11" i="2"/>
  <c r="Z11" i="2"/>
  <c r="X11" i="2"/>
  <c r="V11" i="2"/>
  <c r="R11" i="2"/>
  <c r="K11" i="2"/>
  <c r="O11" i="2" s="1"/>
  <c r="P11" i="2" s="1"/>
  <c r="AA10" i="2"/>
  <c r="Z10" i="2"/>
  <c r="X10" i="2"/>
  <c r="V10" i="2"/>
  <c r="R10" i="2"/>
  <c r="K10" i="2"/>
  <c r="O10" i="2" s="1"/>
  <c r="P10" i="2" s="1"/>
  <c r="AA9" i="2"/>
  <c r="Z9" i="2"/>
  <c r="X9" i="2"/>
  <c r="V9" i="2"/>
  <c r="R9" i="2"/>
  <c r="K9" i="2"/>
  <c r="O9" i="2" s="1"/>
  <c r="P9" i="2" s="1"/>
  <c r="AA8" i="2"/>
  <c r="Z8" i="2"/>
  <c r="X8" i="2"/>
  <c r="V8" i="2"/>
  <c r="R8" i="2"/>
  <c r="K8" i="2"/>
  <c r="O8" i="2" s="1"/>
  <c r="P8" i="2" s="1"/>
  <c r="AA7" i="2"/>
  <c r="Z7" i="2"/>
  <c r="X7" i="2"/>
  <c r="V7" i="2"/>
  <c r="R7" i="2"/>
  <c r="K7" i="2"/>
  <c r="O7" i="2" s="1"/>
  <c r="P7" i="2" s="1"/>
  <c r="AA6" i="2"/>
  <c r="Z6" i="2"/>
  <c r="X6" i="2"/>
  <c r="V6" i="2"/>
  <c r="R6" i="2"/>
  <c r="K6" i="2"/>
  <c r="O6" i="2" s="1"/>
  <c r="P6" i="2" s="1"/>
  <c r="AA5" i="2"/>
  <c r="Z5" i="2"/>
  <c r="X5" i="2"/>
  <c r="V5" i="2"/>
  <c r="R5" i="2"/>
  <c r="K5" i="2"/>
  <c r="O5" i="2" s="1"/>
  <c r="P5" i="2" s="1"/>
  <c r="AA4" i="2"/>
  <c r="Z4" i="2"/>
  <c r="X4" i="2"/>
  <c r="V4" i="2"/>
  <c r="R4" i="2"/>
  <c r="K4" i="2"/>
  <c r="O4" i="2" s="1"/>
  <c r="P4" i="2" s="1"/>
  <c r="AA3" i="2"/>
  <c r="Z3" i="2"/>
  <c r="X3" i="2"/>
  <c r="V3" i="2"/>
  <c r="R3" i="2"/>
  <c r="K3" i="2"/>
  <c r="O3" i="2" s="1"/>
  <c r="P3" i="2" s="1"/>
  <c r="AA2" i="2"/>
  <c r="Z2" i="2"/>
  <c r="X2" i="2"/>
  <c r="V2" i="2"/>
  <c r="R2" i="2"/>
  <c r="K2" i="2"/>
  <c r="O2" i="2" s="1"/>
  <c r="P2" i="2" s="1"/>
  <c r="AB333" i="1"/>
  <c r="AA333" i="1"/>
  <c r="Y333" i="1"/>
  <c r="W333" i="1"/>
  <c r="L333" i="1"/>
  <c r="P333" i="1" s="1"/>
  <c r="Q333" i="1" s="1"/>
  <c r="AB332" i="1"/>
  <c r="AA332" i="1"/>
  <c r="Y332" i="1"/>
  <c r="W332" i="1"/>
  <c r="L332" i="1"/>
  <c r="P332" i="1" s="1"/>
  <c r="Q332" i="1" s="1"/>
  <c r="AB331" i="1"/>
  <c r="AA331" i="1"/>
  <c r="Y331" i="1"/>
  <c r="W331" i="1"/>
  <c r="L331" i="1"/>
  <c r="P331" i="1" s="1"/>
  <c r="Q331" i="1" s="1"/>
  <c r="AB330" i="1"/>
  <c r="AA330" i="1"/>
  <c r="Y330" i="1"/>
  <c r="W330" i="1"/>
  <c r="L330" i="1"/>
  <c r="P330" i="1" s="1"/>
  <c r="Q330" i="1" s="1"/>
  <c r="AB329" i="1"/>
  <c r="AA329" i="1"/>
  <c r="Y329" i="1"/>
  <c r="W329" i="1"/>
  <c r="L329" i="1"/>
  <c r="P329" i="1" s="1"/>
  <c r="Q329" i="1" s="1"/>
  <c r="AB328" i="1"/>
  <c r="AA328" i="1"/>
  <c r="Y328" i="1"/>
  <c r="W328" i="1"/>
  <c r="L328" i="1"/>
  <c r="P328" i="1" s="1"/>
  <c r="Q328" i="1" s="1"/>
  <c r="AB327" i="1"/>
  <c r="AA327" i="1"/>
  <c r="Y327" i="1"/>
  <c r="W327" i="1"/>
  <c r="L327" i="1"/>
  <c r="P327" i="1" s="1"/>
  <c r="Q327" i="1" s="1"/>
  <c r="AB326" i="1"/>
  <c r="AA326" i="1"/>
  <c r="Y326" i="1"/>
  <c r="W326" i="1"/>
  <c r="L326" i="1"/>
  <c r="P326" i="1" s="1"/>
  <c r="Q326" i="1" s="1"/>
  <c r="AB325" i="1"/>
  <c r="AA325" i="1"/>
  <c r="Y325" i="1"/>
  <c r="W325" i="1"/>
  <c r="L325" i="1"/>
  <c r="P325" i="1" s="1"/>
  <c r="Q325" i="1" s="1"/>
  <c r="AB324" i="1"/>
  <c r="AA324" i="1"/>
  <c r="Y324" i="1"/>
  <c r="W324" i="1"/>
  <c r="L324" i="1"/>
  <c r="P324" i="1" s="1"/>
  <c r="Q324" i="1" s="1"/>
  <c r="AB323" i="1"/>
  <c r="AA323" i="1"/>
  <c r="Y323" i="1"/>
  <c r="W323" i="1"/>
  <c r="L323" i="1"/>
  <c r="P323" i="1" s="1"/>
  <c r="Q323" i="1" s="1"/>
  <c r="AB322" i="1"/>
  <c r="AA322" i="1"/>
  <c r="Y322" i="1"/>
  <c r="W322" i="1"/>
  <c r="L322" i="1"/>
  <c r="P322" i="1" s="1"/>
  <c r="Q322" i="1" s="1"/>
  <c r="AB321" i="1"/>
  <c r="AA321" i="1"/>
  <c r="Y321" i="1"/>
  <c r="W321" i="1"/>
  <c r="L321" i="1"/>
  <c r="P321" i="1" s="1"/>
  <c r="Q321" i="1" s="1"/>
  <c r="AB320" i="1"/>
  <c r="AA320" i="1"/>
  <c r="Y320" i="1"/>
  <c r="W320" i="1"/>
  <c r="L320" i="1"/>
  <c r="P320" i="1" s="1"/>
  <c r="Q320" i="1" s="1"/>
  <c r="AB319" i="1"/>
  <c r="AA319" i="1"/>
  <c r="Y319" i="1"/>
  <c r="W319" i="1"/>
  <c r="L319" i="1"/>
  <c r="P319" i="1" s="1"/>
  <c r="Q319" i="1" s="1"/>
  <c r="AB318" i="1"/>
  <c r="AA318" i="1"/>
  <c r="Y318" i="1"/>
  <c r="W318" i="1"/>
  <c r="L318" i="1"/>
  <c r="P318" i="1" s="1"/>
  <c r="Q318" i="1" s="1"/>
  <c r="AB317" i="1"/>
  <c r="AA317" i="1"/>
  <c r="Y317" i="1"/>
  <c r="W317" i="1"/>
  <c r="L317" i="1"/>
  <c r="P317" i="1" s="1"/>
  <c r="Q317" i="1" s="1"/>
  <c r="AB316" i="1"/>
  <c r="AA316" i="1"/>
  <c r="Y316" i="1"/>
  <c r="W316" i="1"/>
  <c r="L316" i="1"/>
  <c r="P316" i="1" s="1"/>
  <c r="Q316" i="1" s="1"/>
  <c r="AB315" i="1"/>
  <c r="AA315" i="1"/>
  <c r="Y315" i="1"/>
  <c r="W315" i="1"/>
  <c r="L315" i="1"/>
  <c r="P315" i="1" s="1"/>
  <c r="Q315" i="1" s="1"/>
  <c r="AB314" i="1"/>
  <c r="AA314" i="1"/>
  <c r="Y314" i="1"/>
  <c r="W314" i="1"/>
  <c r="L314" i="1"/>
  <c r="P314" i="1" s="1"/>
  <c r="Q314" i="1" s="1"/>
  <c r="AB313" i="1"/>
  <c r="AA313" i="1"/>
  <c r="Y313" i="1"/>
  <c r="W313" i="1"/>
  <c r="L313" i="1"/>
  <c r="P313" i="1" s="1"/>
  <c r="Q313" i="1" s="1"/>
  <c r="AB312" i="1"/>
  <c r="AA312" i="1"/>
  <c r="Y312" i="1"/>
  <c r="W312" i="1"/>
  <c r="L312" i="1"/>
  <c r="P312" i="1" s="1"/>
  <c r="Q312" i="1" s="1"/>
  <c r="AB311" i="1"/>
  <c r="AA311" i="1"/>
  <c r="Y311" i="1"/>
  <c r="W311" i="1"/>
  <c r="L311" i="1"/>
  <c r="P311" i="1" s="1"/>
  <c r="Q311" i="1" s="1"/>
  <c r="AB310" i="1"/>
  <c r="AA310" i="1"/>
  <c r="Y310" i="1"/>
  <c r="W310" i="1"/>
  <c r="L310" i="1"/>
  <c r="P310" i="1" s="1"/>
  <c r="Q310" i="1" s="1"/>
  <c r="AB309" i="1"/>
  <c r="AA309" i="1"/>
  <c r="Y309" i="1"/>
  <c r="W309" i="1"/>
  <c r="L309" i="1"/>
  <c r="P309" i="1" s="1"/>
  <c r="Q309" i="1" s="1"/>
  <c r="AB308" i="1"/>
  <c r="AA308" i="1"/>
  <c r="Y308" i="1"/>
  <c r="W308" i="1"/>
  <c r="L308" i="1"/>
  <c r="P308" i="1" s="1"/>
  <c r="Q308" i="1" s="1"/>
  <c r="AB307" i="1"/>
  <c r="AA307" i="1"/>
  <c r="Y307" i="1"/>
  <c r="W307" i="1"/>
  <c r="L307" i="1"/>
  <c r="P307" i="1" s="1"/>
  <c r="Q307" i="1" s="1"/>
  <c r="AB306" i="1"/>
  <c r="AA306" i="1"/>
  <c r="Y306" i="1"/>
  <c r="W306" i="1"/>
  <c r="L306" i="1"/>
  <c r="P306" i="1" s="1"/>
  <c r="Q306" i="1" s="1"/>
  <c r="AB305" i="1"/>
  <c r="AA305" i="1"/>
  <c r="Y305" i="1"/>
  <c r="W305" i="1"/>
  <c r="L305" i="1"/>
  <c r="P305" i="1" s="1"/>
  <c r="Q305" i="1" s="1"/>
  <c r="AB304" i="1"/>
  <c r="AA304" i="1"/>
  <c r="Y304" i="1"/>
  <c r="W304" i="1"/>
  <c r="L304" i="1"/>
  <c r="P304" i="1" s="1"/>
  <c r="Q304" i="1" s="1"/>
  <c r="AB303" i="1"/>
  <c r="AA303" i="1"/>
  <c r="Y303" i="1"/>
  <c r="W303" i="1"/>
  <c r="L303" i="1"/>
  <c r="P303" i="1" s="1"/>
  <c r="Q303" i="1" s="1"/>
  <c r="AB302" i="1"/>
  <c r="AA302" i="1"/>
  <c r="Y302" i="1"/>
  <c r="W302" i="1"/>
  <c r="L302" i="1"/>
  <c r="P302" i="1" s="1"/>
  <c r="Q302" i="1" s="1"/>
  <c r="AB301" i="1"/>
  <c r="AA301" i="1"/>
  <c r="Y301" i="1"/>
  <c r="W301" i="1"/>
  <c r="L301" i="1"/>
  <c r="P301" i="1" s="1"/>
  <c r="Q301" i="1" s="1"/>
  <c r="AB300" i="1"/>
  <c r="AA300" i="1"/>
  <c r="Y300" i="1"/>
  <c r="W300" i="1"/>
  <c r="L300" i="1"/>
  <c r="P300" i="1" s="1"/>
  <c r="Q300" i="1" s="1"/>
  <c r="AB299" i="1"/>
  <c r="AA299" i="1"/>
  <c r="Y299" i="1"/>
  <c r="W299" i="1"/>
  <c r="L299" i="1"/>
  <c r="P299" i="1" s="1"/>
  <c r="Q299" i="1" s="1"/>
  <c r="AB298" i="1"/>
  <c r="AA298" i="1"/>
  <c r="Y298" i="1"/>
  <c r="W298" i="1"/>
  <c r="L298" i="1"/>
  <c r="P298" i="1" s="1"/>
  <c r="Q298" i="1" s="1"/>
  <c r="AB297" i="1"/>
  <c r="AA297" i="1"/>
  <c r="Y297" i="1"/>
  <c r="W297" i="1"/>
  <c r="L297" i="1"/>
  <c r="P297" i="1" s="1"/>
  <c r="Q297" i="1" s="1"/>
  <c r="AB296" i="1"/>
  <c r="AA296" i="1"/>
  <c r="Y296" i="1"/>
  <c r="W296" i="1"/>
  <c r="L296" i="1"/>
  <c r="P296" i="1" s="1"/>
  <c r="Q296" i="1" s="1"/>
  <c r="AB295" i="1"/>
  <c r="AA295" i="1"/>
  <c r="Y295" i="1"/>
  <c r="W295" i="1"/>
  <c r="L295" i="1"/>
  <c r="P295" i="1" s="1"/>
  <c r="Q295" i="1" s="1"/>
  <c r="AB294" i="1"/>
  <c r="AA294" i="1"/>
  <c r="Y294" i="1"/>
  <c r="W294" i="1"/>
  <c r="L294" i="1"/>
  <c r="P294" i="1" s="1"/>
  <c r="Q294" i="1" s="1"/>
  <c r="AB293" i="1"/>
  <c r="AA293" i="1"/>
  <c r="Y293" i="1"/>
  <c r="W293" i="1"/>
  <c r="L293" i="1"/>
  <c r="P293" i="1" s="1"/>
  <c r="Q293" i="1" s="1"/>
  <c r="AB292" i="1"/>
  <c r="AA292" i="1"/>
  <c r="Y292" i="1"/>
  <c r="W292" i="1"/>
  <c r="L292" i="1"/>
  <c r="P292" i="1" s="1"/>
  <c r="Q292" i="1" s="1"/>
  <c r="AB291" i="1"/>
  <c r="AA291" i="1"/>
  <c r="Y291" i="1"/>
  <c r="W291" i="1"/>
  <c r="L291" i="1"/>
  <c r="P291" i="1" s="1"/>
  <c r="Q291" i="1" s="1"/>
  <c r="AB290" i="1"/>
  <c r="AA290" i="1"/>
  <c r="Y290" i="1"/>
  <c r="W290" i="1"/>
  <c r="L290" i="1"/>
  <c r="P290" i="1" s="1"/>
  <c r="Q290" i="1" s="1"/>
  <c r="AB289" i="1"/>
  <c r="AA289" i="1"/>
  <c r="Y289" i="1"/>
  <c r="W289" i="1"/>
  <c r="L289" i="1"/>
  <c r="P289" i="1" s="1"/>
  <c r="Q289" i="1" s="1"/>
  <c r="AB288" i="1"/>
  <c r="AA288" i="1"/>
  <c r="Y288" i="1"/>
  <c r="W288" i="1"/>
  <c r="L288" i="1"/>
  <c r="P288" i="1" s="1"/>
  <c r="Q288" i="1" s="1"/>
  <c r="AB287" i="1"/>
  <c r="AA287" i="1"/>
  <c r="Y287" i="1"/>
  <c r="W287" i="1"/>
  <c r="L287" i="1"/>
  <c r="P287" i="1" s="1"/>
  <c r="Q287" i="1" s="1"/>
  <c r="AB286" i="1"/>
  <c r="AA286" i="1"/>
  <c r="Y286" i="1"/>
  <c r="W286" i="1"/>
  <c r="L286" i="1"/>
  <c r="P286" i="1" s="1"/>
  <c r="Q286" i="1" s="1"/>
  <c r="AB285" i="1"/>
  <c r="AA285" i="1"/>
  <c r="Y285" i="1"/>
  <c r="W285" i="1"/>
  <c r="L285" i="1"/>
  <c r="P285" i="1" s="1"/>
  <c r="Q285" i="1" s="1"/>
  <c r="AB284" i="1"/>
  <c r="AA284" i="1"/>
  <c r="Y284" i="1"/>
  <c r="W284" i="1"/>
  <c r="L284" i="1"/>
  <c r="P284" i="1" s="1"/>
  <c r="Q284" i="1" s="1"/>
  <c r="AB283" i="1"/>
  <c r="AA283" i="1"/>
  <c r="Y283" i="1"/>
  <c r="W283" i="1"/>
  <c r="L283" i="1"/>
  <c r="P283" i="1" s="1"/>
  <c r="Q283" i="1" s="1"/>
  <c r="AB282" i="1"/>
  <c r="AA282" i="1"/>
  <c r="Y282" i="1"/>
  <c r="W282" i="1"/>
  <c r="L282" i="1"/>
  <c r="P282" i="1" s="1"/>
  <c r="Q282" i="1" s="1"/>
  <c r="AB281" i="1"/>
  <c r="AA281" i="1"/>
  <c r="Y281" i="1"/>
  <c r="W281" i="1"/>
  <c r="L281" i="1"/>
  <c r="P281" i="1" s="1"/>
  <c r="Q281" i="1" s="1"/>
  <c r="AB280" i="1"/>
  <c r="AA280" i="1"/>
  <c r="Y280" i="1"/>
  <c r="W280" i="1"/>
  <c r="L280" i="1"/>
  <c r="P280" i="1" s="1"/>
  <c r="Q280" i="1" s="1"/>
  <c r="AB279" i="1"/>
  <c r="AA279" i="1"/>
  <c r="Y279" i="1"/>
  <c r="W279" i="1"/>
  <c r="L279" i="1"/>
  <c r="P279" i="1" s="1"/>
  <c r="Q279" i="1" s="1"/>
  <c r="AB278" i="1"/>
  <c r="AA278" i="1"/>
  <c r="Y278" i="1"/>
  <c r="W278" i="1"/>
  <c r="L278" i="1"/>
  <c r="P278" i="1" s="1"/>
  <c r="Q278" i="1" s="1"/>
  <c r="AB277" i="1"/>
  <c r="AA277" i="1"/>
  <c r="Y277" i="1"/>
  <c r="W277" i="1"/>
  <c r="L277" i="1"/>
  <c r="P277" i="1" s="1"/>
  <c r="Q277" i="1" s="1"/>
  <c r="AB276" i="1"/>
  <c r="AA276" i="1"/>
  <c r="Y276" i="1"/>
  <c r="W276" i="1"/>
  <c r="L276" i="1"/>
  <c r="P276" i="1" s="1"/>
  <c r="Q276" i="1" s="1"/>
  <c r="AB275" i="1"/>
  <c r="AA275" i="1"/>
  <c r="Y275" i="1"/>
  <c r="W275" i="1"/>
  <c r="L275" i="1"/>
  <c r="P275" i="1" s="1"/>
  <c r="Q275" i="1" s="1"/>
  <c r="AB274" i="1"/>
  <c r="AA274" i="1"/>
  <c r="Y274" i="1"/>
  <c r="W274" i="1"/>
  <c r="L274" i="1"/>
  <c r="P274" i="1" s="1"/>
  <c r="Q274" i="1" s="1"/>
  <c r="AB273" i="1"/>
  <c r="AA273" i="1"/>
  <c r="Y273" i="1"/>
  <c r="W273" i="1"/>
  <c r="L273" i="1"/>
  <c r="P273" i="1" s="1"/>
  <c r="Q273" i="1" s="1"/>
  <c r="AB272" i="1"/>
  <c r="AA272" i="1"/>
  <c r="Y272" i="1"/>
  <c r="W272" i="1"/>
  <c r="L272" i="1"/>
  <c r="P272" i="1" s="1"/>
  <c r="Q272" i="1" s="1"/>
  <c r="AB271" i="1"/>
  <c r="AA271" i="1"/>
  <c r="Y271" i="1"/>
  <c r="W271" i="1"/>
  <c r="L271" i="1"/>
  <c r="P271" i="1" s="1"/>
  <c r="Q271" i="1" s="1"/>
  <c r="AB270" i="1"/>
  <c r="AA270" i="1"/>
  <c r="Y270" i="1"/>
  <c r="W270" i="1"/>
  <c r="L270" i="1"/>
  <c r="P270" i="1" s="1"/>
  <c r="Q270" i="1" s="1"/>
  <c r="AB269" i="1"/>
  <c r="AA269" i="1"/>
  <c r="Y269" i="1"/>
  <c r="W269" i="1"/>
  <c r="L269" i="1"/>
  <c r="P269" i="1" s="1"/>
  <c r="Q269" i="1" s="1"/>
  <c r="AB268" i="1"/>
  <c r="AA268" i="1"/>
  <c r="Y268" i="1"/>
  <c r="W268" i="1"/>
  <c r="L268" i="1"/>
  <c r="P268" i="1" s="1"/>
  <c r="Q268" i="1" s="1"/>
  <c r="AB267" i="1"/>
  <c r="AA267" i="1"/>
  <c r="Y267" i="1"/>
  <c r="W267" i="1"/>
  <c r="L267" i="1"/>
  <c r="P267" i="1" s="1"/>
  <c r="Q267" i="1" s="1"/>
  <c r="AB266" i="1"/>
  <c r="AA266" i="1"/>
  <c r="Y266" i="1"/>
  <c r="W266" i="1"/>
  <c r="L266" i="1"/>
  <c r="P266" i="1" s="1"/>
  <c r="Q266" i="1" s="1"/>
  <c r="AB265" i="1"/>
  <c r="AA265" i="1"/>
  <c r="Y265" i="1"/>
  <c r="W265" i="1"/>
  <c r="L265" i="1"/>
  <c r="P265" i="1" s="1"/>
  <c r="Q265" i="1" s="1"/>
  <c r="AB264" i="1"/>
  <c r="AA264" i="1"/>
  <c r="Y264" i="1"/>
  <c r="W264" i="1"/>
  <c r="L264" i="1"/>
  <c r="P264" i="1" s="1"/>
  <c r="Q264" i="1" s="1"/>
  <c r="AB263" i="1"/>
  <c r="AA263" i="1"/>
  <c r="Y263" i="1"/>
  <c r="W263" i="1"/>
  <c r="L263" i="1"/>
  <c r="P263" i="1" s="1"/>
  <c r="Q263" i="1" s="1"/>
  <c r="AB262" i="1"/>
  <c r="AA262" i="1"/>
  <c r="Y262" i="1"/>
  <c r="W262" i="1"/>
  <c r="L262" i="1"/>
  <c r="P262" i="1" s="1"/>
  <c r="Q262" i="1" s="1"/>
  <c r="AB261" i="1"/>
  <c r="AA261" i="1"/>
  <c r="Y261" i="1"/>
  <c r="W261" i="1"/>
  <c r="L261" i="1"/>
  <c r="P261" i="1" s="1"/>
  <c r="Q261" i="1" s="1"/>
  <c r="AB260" i="1"/>
  <c r="AA260" i="1"/>
  <c r="Y260" i="1"/>
  <c r="W260" i="1"/>
  <c r="L260" i="1"/>
  <c r="P260" i="1" s="1"/>
  <c r="Q260" i="1" s="1"/>
  <c r="AB259" i="1"/>
  <c r="AA259" i="1"/>
  <c r="Y259" i="1"/>
  <c r="W259" i="1"/>
  <c r="L259" i="1"/>
  <c r="P259" i="1" s="1"/>
  <c r="Q259" i="1" s="1"/>
  <c r="AB258" i="1"/>
  <c r="AA258" i="1"/>
  <c r="Y258" i="1"/>
  <c r="W258" i="1"/>
  <c r="L258" i="1"/>
  <c r="P258" i="1" s="1"/>
  <c r="Q258" i="1" s="1"/>
  <c r="AB257" i="1"/>
  <c r="AA257" i="1"/>
  <c r="Y257" i="1"/>
  <c r="W257" i="1"/>
  <c r="L257" i="1"/>
  <c r="P257" i="1" s="1"/>
  <c r="Q257" i="1" s="1"/>
  <c r="AB256" i="1"/>
  <c r="AA256" i="1"/>
  <c r="Y256" i="1"/>
  <c r="W256" i="1"/>
  <c r="L256" i="1"/>
  <c r="P256" i="1" s="1"/>
  <c r="Q256" i="1" s="1"/>
  <c r="AB255" i="1"/>
  <c r="AA255" i="1"/>
  <c r="Y255" i="1"/>
  <c r="W255" i="1"/>
  <c r="L255" i="1"/>
  <c r="P255" i="1" s="1"/>
  <c r="Q255" i="1" s="1"/>
  <c r="AB254" i="1"/>
  <c r="AA254" i="1"/>
  <c r="Y254" i="1"/>
  <c r="W254" i="1"/>
  <c r="L254" i="1"/>
  <c r="P254" i="1" s="1"/>
  <c r="Q254" i="1" s="1"/>
  <c r="AB253" i="1"/>
  <c r="AA253" i="1"/>
  <c r="Y253" i="1"/>
  <c r="W253" i="1"/>
  <c r="L253" i="1"/>
  <c r="P253" i="1" s="1"/>
  <c r="Q253" i="1" s="1"/>
  <c r="AB252" i="1"/>
  <c r="AA252" i="1"/>
  <c r="Y252" i="1"/>
  <c r="W252" i="1"/>
  <c r="L252" i="1"/>
  <c r="P252" i="1" s="1"/>
  <c r="Q252" i="1" s="1"/>
  <c r="AB251" i="1"/>
  <c r="AA251" i="1"/>
  <c r="Y251" i="1"/>
  <c r="W251" i="1"/>
  <c r="L251" i="1"/>
  <c r="P251" i="1" s="1"/>
  <c r="Q251" i="1" s="1"/>
  <c r="AB250" i="1"/>
  <c r="AA250" i="1"/>
  <c r="Y250" i="1"/>
  <c r="W250" i="1"/>
  <c r="L250" i="1"/>
  <c r="P250" i="1" s="1"/>
  <c r="Q250" i="1" s="1"/>
  <c r="AB249" i="1"/>
  <c r="AA249" i="1"/>
  <c r="Y249" i="1"/>
  <c r="W249" i="1"/>
  <c r="L249" i="1"/>
  <c r="P249" i="1" s="1"/>
  <c r="Q249" i="1" s="1"/>
  <c r="AB248" i="1"/>
  <c r="AA248" i="1"/>
  <c r="Y248" i="1"/>
  <c r="W248" i="1"/>
  <c r="L248" i="1"/>
  <c r="P248" i="1" s="1"/>
  <c r="Q248" i="1" s="1"/>
  <c r="AB247" i="1"/>
  <c r="AA247" i="1"/>
  <c r="Y247" i="1"/>
  <c r="W247" i="1"/>
  <c r="L247" i="1"/>
  <c r="P247" i="1" s="1"/>
  <c r="Q247" i="1" s="1"/>
  <c r="AB246" i="1"/>
  <c r="AA246" i="1"/>
  <c r="Y246" i="1"/>
  <c r="W246" i="1"/>
  <c r="L246" i="1"/>
  <c r="P246" i="1" s="1"/>
  <c r="Q246" i="1" s="1"/>
  <c r="AB245" i="1"/>
  <c r="AA245" i="1"/>
  <c r="Y245" i="1"/>
  <c r="W245" i="1"/>
  <c r="L245" i="1"/>
  <c r="P245" i="1" s="1"/>
  <c r="Q245" i="1" s="1"/>
  <c r="AB244" i="1"/>
  <c r="AA244" i="1"/>
  <c r="Y244" i="1"/>
  <c r="W244" i="1"/>
  <c r="L244" i="1"/>
  <c r="P244" i="1" s="1"/>
  <c r="Q244" i="1" s="1"/>
  <c r="AB243" i="1"/>
  <c r="AA243" i="1"/>
  <c r="Y243" i="1"/>
  <c r="W243" i="1"/>
  <c r="L243" i="1"/>
  <c r="P243" i="1" s="1"/>
  <c r="Q243" i="1" s="1"/>
  <c r="AB242" i="1"/>
  <c r="AA242" i="1"/>
  <c r="Y242" i="1"/>
  <c r="W242" i="1"/>
  <c r="L242" i="1"/>
  <c r="P242" i="1" s="1"/>
  <c r="Q242" i="1" s="1"/>
  <c r="AB241" i="1"/>
  <c r="AA241" i="1"/>
  <c r="Y241" i="1"/>
  <c r="W241" i="1"/>
  <c r="L241" i="1"/>
  <c r="P241" i="1" s="1"/>
  <c r="Q241" i="1" s="1"/>
  <c r="AB240" i="1"/>
  <c r="AA240" i="1"/>
  <c r="Y240" i="1"/>
  <c r="W240" i="1"/>
  <c r="L240" i="1"/>
  <c r="P240" i="1" s="1"/>
  <c r="Q240" i="1" s="1"/>
  <c r="AB239" i="1"/>
  <c r="AA239" i="1"/>
  <c r="Y239" i="1"/>
  <c r="W239" i="1"/>
  <c r="L239" i="1"/>
  <c r="P239" i="1" s="1"/>
  <c r="Q239" i="1" s="1"/>
  <c r="AB238" i="1"/>
  <c r="AA238" i="1"/>
  <c r="Y238" i="1"/>
  <c r="W238" i="1"/>
  <c r="L238" i="1"/>
  <c r="P238" i="1" s="1"/>
  <c r="Q238" i="1" s="1"/>
  <c r="AB237" i="1"/>
  <c r="AA237" i="1"/>
  <c r="Y237" i="1"/>
  <c r="W237" i="1"/>
  <c r="L237" i="1"/>
  <c r="P237" i="1" s="1"/>
  <c r="Q237" i="1" s="1"/>
  <c r="AB236" i="1"/>
  <c r="AA236" i="1"/>
  <c r="Y236" i="1"/>
  <c r="W236" i="1"/>
  <c r="L236" i="1"/>
  <c r="P236" i="1" s="1"/>
  <c r="Q236" i="1" s="1"/>
  <c r="AB235" i="1"/>
  <c r="AA235" i="1"/>
  <c r="Y235" i="1"/>
  <c r="W235" i="1"/>
  <c r="L235" i="1"/>
  <c r="P235" i="1" s="1"/>
  <c r="Q235" i="1" s="1"/>
  <c r="AB234" i="1"/>
  <c r="AA234" i="1"/>
  <c r="Y234" i="1"/>
  <c r="W234" i="1"/>
  <c r="L234" i="1"/>
  <c r="P234" i="1" s="1"/>
  <c r="Q234" i="1" s="1"/>
  <c r="AB233" i="1"/>
  <c r="AA233" i="1"/>
  <c r="Y233" i="1"/>
  <c r="W233" i="1"/>
  <c r="L233" i="1"/>
  <c r="P233" i="1" s="1"/>
  <c r="Q233" i="1" s="1"/>
  <c r="AB232" i="1"/>
  <c r="AA232" i="1"/>
  <c r="Y232" i="1"/>
  <c r="W232" i="1"/>
  <c r="L232" i="1"/>
  <c r="P232" i="1" s="1"/>
  <c r="Q232" i="1" s="1"/>
  <c r="AB231" i="1"/>
  <c r="AA231" i="1"/>
  <c r="Y231" i="1"/>
  <c r="W231" i="1"/>
  <c r="L231" i="1"/>
  <c r="P231" i="1" s="1"/>
  <c r="Q231" i="1" s="1"/>
  <c r="AB230" i="1"/>
  <c r="AA230" i="1"/>
  <c r="Y230" i="1"/>
  <c r="W230" i="1"/>
  <c r="L230" i="1"/>
  <c r="P230" i="1" s="1"/>
  <c r="Q230" i="1" s="1"/>
  <c r="AB229" i="1"/>
  <c r="AA229" i="1"/>
  <c r="Y229" i="1"/>
  <c r="W229" i="1"/>
  <c r="L229" i="1"/>
  <c r="P229" i="1" s="1"/>
  <c r="Q229" i="1" s="1"/>
  <c r="AB228" i="1"/>
  <c r="AA228" i="1"/>
  <c r="Y228" i="1"/>
  <c r="W228" i="1"/>
  <c r="L228" i="1"/>
  <c r="P228" i="1" s="1"/>
  <c r="Q228" i="1" s="1"/>
  <c r="AB227" i="1"/>
  <c r="AA227" i="1"/>
  <c r="Y227" i="1"/>
  <c r="W227" i="1"/>
  <c r="L227" i="1"/>
  <c r="P227" i="1" s="1"/>
  <c r="Q227" i="1" s="1"/>
  <c r="AB226" i="1"/>
  <c r="AA226" i="1"/>
  <c r="Y226" i="1"/>
  <c r="W226" i="1"/>
  <c r="L226" i="1"/>
  <c r="P226" i="1" s="1"/>
  <c r="Q226" i="1" s="1"/>
  <c r="AB225" i="1"/>
  <c r="AA225" i="1"/>
  <c r="Y225" i="1"/>
  <c r="W225" i="1"/>
  <c r="L225" i="1"/>
  <c r="P225" i="1" s="1"/>
  <c r="Q225" i="1" s="1"/>
  <c r="AB224" i="1"/>
  <c r="AA224" i="1"/>
  <c r="Y224" i="1"/>
  <c r="W224" i="1"/>
  <c r="L224" i="1"/>
  <c r="P224" i="1" s="1"/>
  <c r="Q224" i="1" s="1"/>
  <c r="AB223" i="1"/>
  <c r="AA223" i="1"/>
  <c r="Y223" i="1"/>
  <c r="W223" i="1"/>
  <c r="L223" i="1"/>
  <c r="P223" i="1" s="1"/>
  <c r="Q223" i="1" s="1"/>
  <c r="AB222" i="1"/>
  <c r="AA222" i="1"/>
  <c r="Y222" i="1"/>
  <c r="W222" i="1"/>
  <c r="L222" i="1"/>
  <c r="P222" i="1" s="1"/>
  <c r="Q222" i="1" s="1"/>
  <c r="AB221" i="1"/>
  <c r="AA221" i="1"/>
  <c r="Y221" i="1"/>
  <c r="W221" i="1"/>
  <c r="L221" i="1"/>
  <c r="P221" i="1" s="1"/>
  <c r="Q221" i="1" s="1"/>
  <c r="AB220" i="1"/>
  <c r="AA220" i="1"/>
  <c r="Y220" i="1"/>
  <c r="W220" i="1"/>
  <c r="L220" i="1"/>
  <c r="P220" i="1" s="1"/>
  <c r="Q220" i="1" s="1"/>
  <c r="AB219" i="1"/>
  <c r="AA219" i="1"/>
  <c r="Y219" i="1"/>
  <c r="W219" i="1"/>
  <c r="L219" i="1"/>
  <c r="P219" i="1" s="1"/>
  <c r="Q219" i="1" s="1"/>
  <c r="AB218" i="1"/>
  <c r="AA218" i="1"/>
  <c r="Y218" i="1"/>
  <c r="W218" i="1"/>
  <c r="L218" i="1"/>
  <c r="P218" i="1" s="1"/>
  <c r="Q218" i="1" s="1"/>
  <c r="AB217" i="1"/>
  <c r="AA217" i="1"/>
  <c r="Y217" i="1"/>
  <c r="W217" i="1"/>
  <c r="L217" i="1"/>
  <c r="P217" i="1" s="1"/>
  <c r="Q217" i="1" s="1"/>
  <c r="AB216" i="1"/>
  <c r="AA216" i="1"/>
  <c r="Y216" i="1"/>
  <c r="W216" i="1"/>
  <c r="L216" i="1"/>
  <c r="P216" i="1" s="1"/>
  <c r="Q216" i="1" s="1"/>
  <c r="AB215" i="1"/>
  <c r="AA215" i="1"/>
  <c r="Y215" i="1"/>
  <c r="W215" i="1"/>
  <c r="L215" i="1"/>
  <c r="P215" i="1" s="1"/>
  <c r="Q215" i="1" s="1"/>
  <c r="AB214" i="1"/>
  <c r="AA214" i="1"/>
  <c r="Y214" i="1"/>
  <c r="W214" i="1"/>
  <c r="L214" i="1"/>
  <c r="P214" i="1" s="1"/>
  <c r="Q214" i="1" s="1"/>
  <c r="AB213" i="1"/>
  <c r="AA213" i="1"/>
  <c r="Y213" i="1"/>
  <c r="W213" i="1"/>
  <c r="L213" i="1"/>
  <c r="P213" i="1" s="1"/>
  <c r="Q213" i="1" s="1"/>
  <c r="AB212" i="1"/>
  <c r="AA212" i="1"/>
  <c r="Y212" i="1"/>
  <c r="W212" i="1"/>
  <c r="L212" i="1"/>
  <c r="P212" i="1" s="1"/>
  <c r="Q212" i="1" s="1"/>
  <c r="AB211" i="1"/>
  <c r="AA211" i="1"/>
  <c r="Y211" i="1"/>
  <c r="W211" i="1"/>
  <c r="L211" i="1"/>
  <c r="P211" i="1" s="1"/>
  <c r="Q211" i="1" s="1"/>
  <c r="AB210" i="1"/>
  <c r="AA210" i="1"/>
  <c r="Y210" i="1"/>
  <c r="W210" i="1"/>
  <c r="L210" i="1"/>
  <c r="P210" i="1" s="1"/>
  <c r="Q210" i="1" s="1"/>
  <c r="AB209" i="1"/>
  <c r="AA209" i="1"/>
  <c r="Y209" i="1"/>
  <c r="W209" i="1"/>
  <c r="L209" i="1"/>
  <c r="P209" i="1" s="1"/>
  <c r="Q209" i="1" s="1"/>
  <c r="AB208" i="1"/>
  <c r="AA208" i="1"/>
  <c r="Y208" i="1"/>
  <c r="W208" i="1"/>
  <c r="L208" i="1"/>
  <c r="P208" i="1" s="1"/>
  <c r="Q208" i="1" s="1"/>
  <c r="AB207" i="1"/>
  <c r="AA207" i="1"/>
  <c r="Y207" i="1"/>
  <c r="W207" i="1"/>
  <c r="L207" i="1"/>
  <c r="P207" i="1" s="1"/>
  <c r="Q207" i="1" s="1"/>
  <c r="AB206" i="1"/>
  <c r="AA206" i="1"/>
  <c r="Y206" i="1"/>
  <c r="W206" i="1"/>
  <c r="L206" i="1"/>
  <c r="P206" i="1" s="1"/>
  <c r="Q206" i="1" s="1"/>
  <c r="AB205" i="1"/>
  <c r="AA205" i="1"/>
  <c r="Y205" i="1"/>
  <c r="W205" i="1"/>
  <c r="L205" i="1"/>
  <c r="P205" i="1" s="1"/>
  <c r="Q205" i="1" s="1"/>
  <c r="AB204" i="1"/>
  <c r="AA204" i="1"/>
  <c r="Y204" i="1"/>
  <c r="W204" i="1"/>
  <c r="L204" i="1"/>
  <c r="P204" i="1" s="1"/>
  <c r="Q204" i="1" s="1"/>
  <c r="AB203" i="1"/>
  <c r="AA203" i="1"/>
  <c r="Y203" i="1"/>
  <c r="W203" i="1"/>
  <c r="L203" i="1"/>
  <c r="P203" i="1" s="1"/>
  <c r="Q203" i="1" s="1"/>
  <c r="AB202" i="1"/>
  <c r="AA202" i="1"/>
  <c r="Y202" i="1"/>
  <c r="W202" i="1"/>
  <c r="L202" i="1"/>
  <c r="P202" i="1" s="1"/>
  <c r="Q202" i="1" s="1"/>
  <c r="AB201" i="1"/>
  <c r="AA201" i="1"/>
  <c r="Y201" i="1"/>
  <c r="W201" i="1"/>
  <c r="L201" i="1"/>
  <c r="P201" i="1" s="1"/>
  <c r="Q201" i="1" s="1"/>
  <c r="AB200" i="1"/>
  <c r="AA200" i="1"/>
  <c r="Y200" i="1"/>
  <c r="W200" i="1"/>
  <c r="L200" i="1"/>
  <c r="P200" i="1" s="1"/>
  <c r="Q200" i="1" s="1"/>
  <c r="AB199" i="1"/>
  <c r="AA199" i="1"/>
  <c r="Y199" i="1"/>
  <c r="W199" i="1"/>
  <c r="P199" i="1"/>
  <c r="Q199" i="1" s="1"/>
  <c r="L199" i="1"/>
  <c r="AB198" i="1"/>
  <c r="AA198" i="1"/>
  <c r="Y198" i="1"/>
  <c r="W198" i="1"/>
  <c r="L198" i="1"/>
  <c r="P198" i="1" s="1"/>
  <c r="Q198" i="1" s="1"/>
  <c r="AB197" i="1"/>
  <c r="AA197" i="1"/>
  <c r="Y197" i="1"/>
  <c r="W197" i="1"/>
  <c r="L197" i="1"/>
  <c r="P197" i="1" s="1"/>
  <c r="Q197" i="1" s="1"/>
  <c r="AB196" i="1"/>
  <c r="AA196" i="1"/>
  <c r="Y196" i="1"/>
  <c r="W196" i="1"/>
  <c r="L196" i="1"/>
  <c r="P196" i="1" s="1"/>
  <c r="Q196" i="1" s="1"/>
  <c r="AB195" i="1"/>
  <c r="AA195" i="1"/>
  <c r="Y195" i="1"/>
  <c r="W195" i="1"/>
  <c r="L195" i="1"/>
  <c r="P195" i="1" s="1"/>
  <c r="Q195" i="1" s="1"/>
  <c r="AB194" i="1"/>
  <c r="AA194" i="1"/>
  <c r="Y194" i="1"/>
  <c r="W194" i="1"/>
  <c r="L194" i="1"/>
  <c r="P194" i="1" s="1"/>
  <c r="Q194" i="1" s="1"/>
  <c r="AB193" i="1"/>
  <c r="AA193" i="1"/>
  <c r="Y193" i="1"/>
  <c r="W193" i="1"/>
  <c r="L193" i="1"/>
  <c r="P193" i="1" s="1"/>
  <c r="Q193" i="1" s="1"/>
  <c r="AB192" i="1"/>
  <c r="AA192" i="1"/>
  <c r="Y192" i="1"/>
  <c r="W192" i="1"/>
  <c r="L192" i="1"/>
  <c r="P192" i="1" s="1"/>
  <c r="Q192" i="1" s="1"/>
  <c r="AB191" i="1"/>
  <c r="AA191" i="1"/>
  <c r="Y191" i="1"/>
  <c r="W191" i="1"/>
  <c r="L191" i="1"/>
  <c r="P191" i="1" s="1"/>
  <c r="Q191" i="1" s="1"/>
  <c r="AB190" i="1"/>
  <c r="AA190" i="1"/>
  <c r="Y190" i="1"/>
  <c r="W190" i="1"/>
  <c r="L190" i="1"/>
  <c r="P190" i="1" s="1"/>
  <c r="Q190" i="1" s="1"/>
  <c r="AB189" i="1"/>
  <c r="AA189" i="1"/>
  <c r="Y189" i="1"/>
  <c r="W189" i="1"/>
  <c r="L189" i="1"/>
  <c r="P189" i="1" s="1"/>
  <c r="Q189" i="1" s="1"/>
  <c r="AB188" i="1"/>
  <c r="AA188" i="1"/>
  <c r="Y188" i="1"/>
  <c r="W188" i="1"/>
  <c r="L188" i="1"/>
  <c r="P188" i="1" s="1"/>
  <c r="Q188" i="1" s="1"/>
  <c r="AB187" i="1"/>
  <c r="AA187" i="1"/>
  <c r="Y187" i="1"/>
  <c r="W187" i="1"/>
  <c r="L187" i="1"/>
  <c r="P187" i="1" s="1"/>
  <c r="Q187" i="1" s="1"/>
  <c r="AB186" i="1"/>
  <c r="AA186" i="1"/>
  <c r="Y186" i="1"/>
  <c r="W186" i="1"/>
  <c r="L186" i="1"/>
  <c r="P186" i="1" s="1"/>
  <c r="Q186" i="1" s="1"/>
  <c r="AB185" i="1"/>
  <c r="AA185" i="1"/>
  <c r="Y185" i="1"/>
  <c r="W185" i="1"/>
  <c r="L185" i="1"/>
  <c r="P185" i="1" s="1"/>
  <c r="Q185" i="1" s="1"/>
  <c r="AB184" i="1"/>
  <c r="AA184" i="1"/>
  <c r="Y184" i="1"/>
  <c r="W184" i="1"/>
  <c r="L184" i="1"/>
  <c r="P184" i="1" s="1"/>
  <c r="Q184" i="1" s="1"/>
  <c r="AB183" i="1"/>
  <c r="AA183" i="1"/>
  <c r="Y183" i="1"/>
  <c r="W183" i="1"/>
  <c r="L183" i="1"/>
  <c r="P183" i="1" s="1"/>
  <c r="Q183" i="1" s="1"/>
  <c r="AB182" i="1"/>
  <c r="AA182" i="1"/>
  <c r="Y182" i="1"/>
  <c r="W182" i="1"/>
  <c r="L182" i="1"/>
  <c r="P182" i="1" s="1"/>
  <c r="Q182" i="1" s="1"/>
  <c r="AB181" i="1"/>
  <c r="AA181" i="1"/>
  <c r="Y181" i="1"/>
  <c r="W181" i="1"/>
  <c r="L181" i="1"/>
  <c r="P181" i="1" s="1"/>
  <c r="Q181" i="1" s="1"/>
  <c r="AB180" i="1"/>
  <c r="AA180" i="1"/>
  <c r="Y180" i="1"/>
  <c r="W180" i="1"/>
  <c r="L180" i="1"/>
  <c r="P180" i="1" s="1"/>
  <c r="Q180" i="1" s="1"/>
  <c r="AB179" i="1"/>
  <c r="AA179" i="1"/>
  <c r="Y179" i="1"/>
  <c r="W179" i="1"/>
  <c r="L179" i="1"/>
  <c r="P179" i="1" s="1"/>
  <c r="Q179" i="1" s="1"/>
  <c r="AB178" i="1"/>
  <c r="AA178" i="1"/>
  <c r="Y178" i="1"/>
  <c r="W178" i="1"/>
  <c r="L178" i="1"/>
  <c r="P178" i="1" s="1"/>
  <c r="Q178" i="1" s="1"/>
  <c r="AB177" i="1"/>
  <c r="AA177" i="1"/>
  <c r="Y177" i="1"/>
  <c r="W177" i="1"/>
  <c r="L177" i="1"/>
  <c r="P177" i="1" s="1"/>
  <c r="Q177" i="1" s="1"/>
  <c r="AB176" i="1"/>
  <c r="AA176" i="1"/>
  <c r="Y176" i="1"/>
  <c r="W176" i="1"/>
  <c r="L176" i="1"/>
  <c r="P176" i="1" s="1"/>
  <c r="Q176" i="1" s="1"/>
  <c r="AB175" i="1"/>
  <c r="AA175" i="1"/>
  <c r="Y175" i="1"/>
  <c r="W175" i="1"/>
  <c r="L175" i="1"/>
  <c r="P175" i="1" s="1"/>
  <c r="Q175" i="1" s="1"/>
  <c r="AB174" i="1"/>
  <c r="AA174" i="1"/>
  <c r="Y174" i="1"/>
  <c r="W174" i="1"/>
  <c r="L174" i="1"/>
  <c r="P174" i="1" s="1"/>
  <c r="Q174" i="1" s="1"/>
  <c r="AB173" i="1"/>
  <c r="AA173" i="1"/>
  <c r="Y173" i="1"/>
  <c r="W173" i="1"/>
  <c r="L173" i="1"/>
  <c r="P173" i="1" s="1"/>
  <c r="Q173" i="1" s="1"/>
  <c r="AB172" i="1"/>
  <c r="AA172" i="1"/>
  <c r="Y172" i="1"/>
  <c r="W172" i="1"/>
  <c r="L172" i="1"/>
  <c r="P172" i="1" s="1"/>
  <c r="Q172" i="1" s="1"/>
  <c r="AB171" i="1"/>
  <c r="AA171" i="1"/>
  <c r="Y171" i="1"/>
  <c r="W171" i="1"/>
  <c r="L171" i="1"/>
  <c r="P171" i="1" s="1"/>
  <c r="Q171" i="1" s="1"/>
  <c r="AB170" i="1"/>
  <c r="AA170" i="1"/>
  <c r="Y170" i="1"/>
  <c r="W170" i="1"/>
  <c r="L170" i="1"/>
  <c r="P170" i="1" s="1"/>
  <c r="Q170" i="1" s="1"/>
  <c r="AB169" i="1"/>
  <c r="AA169" i="1"/>
  <c r="Y169" i="1"/>
  <c r="W169" i="1"/>
  <c r="L169" i="1"/>
  <c r="P169" i="1" s="1"/>
  <c r="Q169" i="1" s="1"/>
  <c r="AB168" i="1"/>
  <c r="AA168" i="1"/>
  <c r="Y168" i="1"/>
  <c r="W168" i="1"/>
  <c r="L168" i="1"/>
  <c r="P168" i="1" s="1"/>
  <c r="Q168" i="1" s="1"/>
  <c r="AB167" i="1"/>
  <c r="AA167" i="1"/>
  <c r="Y167" i="1"/>
  <c r="W167" i="1"/>
  <c r="L167" i="1"/>
  <c r="P167" i="1" s="1"/>
  <c r="Q167" i="1" s="1"/>
  <c r="AB166" i="1"/>
  <c r="AA166" i="1"/>
  <c r="Y166" i="1"/>
  <c r="W166" i="1"/>
  <c r="L166" i="1"/>
  <c r="P166" i="1" s="1"/>
  <c r="Q166" i="1" s="1"/>
  <c r="AB165" i="1"/>
  <c r="AA165" i="1"/>
  <c r="Y165" i="1"/>
  <c r="W165" i="1"/>
  <c r="L165" i="1"/>
  <c r="P165" i="1" s="1"/>
  <c r="Q165" i="1" s="1"/>
  <c r="AB164" i="1"/>
  <c r="AA164" i="1"/>
  <c r="Y164" i="1"/>
  <c r="W164" i="1"/>
  <c r="L164" i="1"/>
  <c r="P164" i="1" s="1"/>
  <c r="Q164" i="1" s="1"/>
  <c r="AB163" i="1"/>
  <c r="AA163" i="1"/>
  <c r="Y163" i="1"/>
  <c r="W163" i="1"/>
  <c r="L163" i="1"/>
  <c r="P163" i="1" s="1"/>
  <c r="Q163" i="1" s="1"/>
  <c r="AB162" i="1"/>
  <c r="AA162" i="1"/>
  <c r="Y162" i="1"/>
  <c r="W162" i="1"/>
  <c r="L162" i="1"/>
  <c r="P162" i="1" s="1"/>
  <c r="Q162" i="1" s="1"/>
  <c r="AB161" i="1"/>
  <c r="AA161" i="1"/>
  <c r="Y161" i="1"/>
  <c r="W161" i="1"/>
  <c r="L161" i="1"/>
  <c r="P161" i="1" s="1"/>
  <c r="Q161" i="1" s="1"/>
  <c r="AB160" i="1"/>
  <c r="AA160" i="1"/>
  <c r="Y160" i="1"/>
  <c r="W160" i="1"/>
  <c r="L160" i="1"/>
  <c r="P160" i="1" s="1"/>
  <c r="Q160" i="1" s="1"/>
  <c r="AB159" i="1"/>
  <c r="AA159" i="1"/>
  <c r="Y159" i="1"/>
  <c r="W159" i="1"/>
  <c r="L159" i="1"/>
  <c r="P159" i="1" s="1"/>
  <c r="Q159" i="1" s="1"/>
  <c r="AB158" i="1"/>
  <c r="AA158" i="1"/>
  <c r="Y158" i="1"/>
  <c r="W158" i="1"/>
  <c r="L158" i="1"/>
  <c r="P158" i="1" s="1"/>
  <c r="Q158" i="1" s="1"/>
  <c r="AB157" i="1"/>
  <c r="AA157" i="1"/>
  <c r="Y157" i="1"/>
  <c r="W157" i="1"/>
  <c r="L157" i="1"/>
  <c r="P157" i="1" s="1"/>
  <c r="Q157" i="1" s="1"/>
  <c r="AB156" i="1"/>
  <c r="AA156" i="1"/>
  <c r="Y156" i="1"/>
  <c r="W156" i="1"/>
  <c r="L156" i="1"/>
  <c r="P156" i="1" s="1"/>
  <c r="Q156" i="1" s="1"/>
  <c r="AB155" i="1"/>
  <c r="AA155" i="1"/>
  <c r="Y155" i="1"/>
  <c r="W155" i="1"/>
  <c r="L155" i="1"/>
  <c r="P155" i="1" s="1"/>
  <c r="Q155" i="1" s="1"/>
  <c r="AB154" i="1"/>
  <c r="AA154" i="1"/>
  <c r="Y154" i="1"/>
  <c r="W154" i="1"/>
  <c r="L154" i="1"/>
  <c r="P154" i="1" s="1"/>
  <c r="Q154" i="1" s="1"/>
  <c r="AB153" i="1"/>
  <c r="AA153" i="1"/>
  <c r="Y153" i="1"/>
  <c r="W153" i="1"/>
  <c r="L153" i="1"/>
  <c r="P153" i="1" s="1"/>
  <c r="Q153" i="1" s="1"/>
  <c r="AB152" i="1"/>
  <c r="AA152" i="1"/>
  <c r="Y152" i="1"/>
  <c r="W152" i="1"/>
  <c r="L152" i="1"/>
  <c r="P152" i="1" s="1"/>
  <c r="Q152" i="1" s="1"/>
  <c r="AB151" i="1"/>
  <c r="AA151" i="1"/>
  <c r="Y151" i="1"/>
  <c r="W151" i="1"/>
  <c r="L151" i="1"/>
  <c r="P151" i="1" s="1"/>
  <c r="Q151" i="1" s="1"/>
  <c r="AB150" i="1"/>
  <c r="AA150" i="1"/>
  <c r="Y150" i="1"/>
  <c r="W150" i="1"/>
  <c r="L150" i="1"/>
  <c r="P150" i="1" s="1"/>
  <c r="Q150" i="1" s="1"/>
  <c r="AB149" i="1"/>
  <c r="AA149" i="1"/>
  <c r="Y149" i="1"/>
  <c r="W149" i="1"/>
  <c r="L149" i="1"/>
  <c r="P149" i="1" s="1"/>
  <c r="Q149" i="1" s="1"/>
  <c r="AB148" i="1"/>
  <c r="AA148" i="1"/>
  <c r="Y148" i="1"/>
  <c r="W148" i="1"/>
  <c r="L148" i="1"/>
  <c r="P148" i="1" s="1"/>
  <c r="Q148" i="1" s="1"/>
  <c r="AB147" i="1"/>
  <c r="AA147" i="1"/>
  <c r="Y147" i="1"/>
  <c r="W147" i="1"/>
  <c r="L147" i="1"/>
  <c r="P147" i="1" s="1"/>
  <c r="Q147" i="1" s="1"/>
  <c r="AB146" i="1"/>
  <c r="AA146" i="1"/>
  <c r="Y146" i="1"/>
  <c r="W146" i="1"/>
  <c r="L146" i="1"/>
  <c r="P146" i="1" s="1"/>
  <c r="Q146" i="1" s="1"/>
  <c r="AB145" i="1"/>
  <c r="AA145" i="1"/>
  <c r="Y145" i="1"/>
  <c r="W145" i="1"/>
  <c r="L145" i="1"/>
  <c r="P145" i="1" s="1"/>
  <c r="Q145" i="1" s="1"/>
  <c r="AB144" i="1"/>
  <c r="AA144" i="1"/>
  <c r="Y144" i="1"/>
  <c r="W144" i="1"/>
  <c r="L144" i="1"/>
  <c r="P144" i="1" s="1"/>
  <c r="Q144" i="1" s="1"/>
  <c r="AB143" i="1"/>
  <c r="AA143" i="1"/>
  <c r="Y143" i="1"/>
  <c r="W143" i="1"/>
  <c r="L143" i="1"/>
  <c r="P143" i="1" s="1"/>
  <c r="Q143" i="1" s="1"/>
  <c r="AB142" i="1"/>
  <c r="AA142" i="1"/>
  <c r="Y142" i="1"/>
  <c r="W142" i="1"/>
  <c r="L142" i="1"/>
  <c r="P142" i="1" s="1"/>
  <c r="Q142" i="1" s="1"/>
  <c r="AB141" i="1"/>
  <c r="AA141" i="1"/>
  <c r="Y141" i="1"/>
  <c r="W141" i="1"/>
  <c r="L141" i="1"/>
  <c r="P141" i="1" s="1"/>
  <c r="Q141" i="1" s="1"/>
  <c r="AB140" i="1"/>
  <c r="AA140" i="1"/>
  <c r="Y140" i="1"/>
  <c r="W140" i="1"/>
  <c r="L140" i="1"/>
  <c r="P140" i="1" s="1"/>
  <c r="Q140" i="1" s="1"/>
  <c r="AB139" i="1"/>
  <c r="AA139" i="1"/>
  <c r="Y139" i="1"/>
  <c r="W139" i="1"/>
  <c r="L139" i="1"/>
  <c r="P139" i="1" s="1"/>
  <c r="Q139" i="1" s="1"/>
  <c r="AB138" i="1"/>
  <c r="AA138" i="1"/>
  <c r="Y138" i="1"/>
  <c r="W138" i="1"/>
  <c r="L138" i="1"/>
  <c r="P138" i="1" s="1"/>
  <c r="Q138" i="1" s="1"/>
  <c r="AB137" i="1"/>
  <c r="AA137" i="1"/>
  <c r="Y137" i="1"/>
  <c r="W137" i="1"/>
  <c r="L137" i="1"/>
  <c r="P137" i="1" s="1"/>
  <c r="Q137" i="1" s="1"/>
  <c r="AB136" i="1"/>
  <c r="AA136" i="1"/>
  <c r="Y136" i="1"/>
  <c r="W136" i="1"/>
  <c r="L136" i="1"/>
  <c r="P136" i="1" s="1"/>
  <c r="Q136" i="1" s="1"/>
  <c r="AB135" i="1"/>
  <c r="AA135" i="1"/>
  <c r="Y135" i="1"/>
  <c r="W135" i="1"/>
  <c r="L135" i="1"/>
  <c r="P135" i="1" s="1"/>
  <c r="Q135" i="1" s="1"/>
  <c r="AB134" i="1"/>
  <c r="AA134" i="1"/>
  <c r="Y134" i="1"/>
  <c r="W134" i="1"/>
  <c r="L134" i="1"/>
  <c r="P134" i="1" s="1"/>
  <c r="Q134" i="1" s="1"/>
  <c r="AB133" i="1"/>
  <c r="AA133" i="1"/>
  <c r="Y133" i="1"/>
  <c r="W133" i="1"/>
  <c r="L133" i="1"/>
  <c r="P133" i="1" s="1"/>
  <c r="Q133" i="1" s="1"/>
  <c r="AB132" i="1"/>
  <c r="AA132" i="1"/>
  <c r="Y132" i="1"/>
  <c r="W132" i="1"/>
  <c r="L132" i="1"/>
  <c r="P132" i="1" s="1"/>
  <c r="Q132" i="1" s="1"/>
  <c r="AB131" i="1"/>
  <c r="AA131" i="1"/>
  <c r="Y131" i="1"/>
  <c r="W131" i="1"/>
  <c r="L131" i="1"/>
  <c r="P131" i="1" s="1"/>
  <c r="Q131" i="1" s="1"/>
  <c r="AB130" i="1"/>
  <c r="AA130" i="1"/>
  <c r="Y130" i="1"/>
  <c r="W130" i="1"/>
  <c r="L130" i="1"/>
  <c r="P130" i="1" s="1"/>
  <c r="Q130" i="1" s="1"/>
  <c r="AB129" i="1"/>
  <c r="AA129" i="1"/>
  <c r="Y129" i="1"/>
  <c r="W129" i="1"/>
  <c r="L129" i="1"/>
  <c r="P129" i="1" s="1"/>
  <c r="Q129" i="1" s="1"/>
  <c r="AB128" i="1"/>
  <c r="AA128" i="1"/>
  <c r="Y128" i="1"/>
  <c r="W128" i="1"/>
  <c r="L128" i="1"/>
  <c r="P128" i="1" s="1"/>
  <c r="Q128" i="1" s="1"/>
  <c r="AB127" i="1"/>
  <c r="AA127" i="1"/>
  <c r="Y127" i="1"/>
  <c r="W127" i="1"/>
  <c r="L127" i="1"/>
  <c r="P127" i="1" s="1"/>
  <c r="Q127" i="1" s="1"/>
  <c r="AB126" i="1"/>
  <c r="AA126" i="1"/>
  <c r="Y126" i="1"/>
  <c r="W126" i="1"/>
  <c r="L126" i="1"/>
  <c r="P126" i="1" s="1"/>
  <c r="Q126" i="1" s="1"/>
  <c r="AB125" i="1"/>
  <c r="AA125" i="1"/>
  <c r="Y125" i="1"/>
  <c r="W125" i="1"/>
  <c r="L125" i="1"/>
  <c r="P125" i="1" s="1"/>
  <c r="Q125" i="1" s="1"/>
  <c r="AB124" i="1"/>
  <c r="AA124" i="1"/>
  <c r="Y124" i="1"/>
  <c r="W124" i="1"/>
  <c r="L124" i="1"/>
  <c r="P124" i="1" s="1"/>
  <c r="Q124" i="1" s="1"/>
  <c r="AB123" i="1"/>
  <c r="AA123" i="1"/>
  <c r="Y123" i="1"/>
  <c r="W123" i="1"/>
  <c r="L123" i="1"/>
  <c r="P123" i="1" s="1"/>
  <c r="Q123" i="1" s="1"/>
  <c r="AB122" i="1"/>
  <c r="AA122" i="1"/>
  <c r="Y122" i="1"/>
  <c r="W122" i="1"/>
  <c r="L122" i="1"/>
  <c r="P122" i="1" s="1"/>
  <c r="Q122" i="1" s="1"/>
  <c r="AB121" i="1"/>
  <c r="AA121" i="1"/>
  <c r="Y121" i="1"/>
  <c r="W121" i="1"/>
  <c r="L121" i="1"/>
  <c r="P121" i="1" s="1"/>
  <c r="Q121" i="1" s="1"/>
  <c r="AB120" i="1"/>
  <c r="AA120" i="1"/>
  <c r="Y120" i="1"/>
  <c r="W120" i="1"/>
  <c r="L120" i="1"/>
  <c r="P120" i="1" s="1"/>
  <c r="Q120" i="1" s="1"/>
  <c r="AB119" i="1"/>
  <c r="AA119" i="1"/>
  <c r="Y119" i="1"/>
  <c r="W119" i="1"/>
  <c r="L119" i="1"/>
  <c r="P119" i="1" s="1"/>
  <c r="Q119" i="1" s="1"/>
  <c r="AB118" i="1"/>
  <c r="AA118" i="1"/>
  <c r="Y118" i="1"/>
  <c r="W118" i="1"/>
  <c r="L118" i="1"/>
  <c r="P118" i="1" s="1"/>
  <c r="Q118" i="1" s="1"/>
  <c r="AB117" i="1"/>
  <c r="AA117" i="1"/>
  <c r="Y117" i="1"/>
  <c r="W117" i="1"/>
  <c r="L117" i="1"/>
  <c r="P117" i="1" s="1"/>
  <c r="Q117" i="1" s="1"/>
  <c r="AB116" i="1"/>
  <c r="AA116" i="1"/>
  <c r="Y116" i="1"/>
  <c r="W116" i="1"/>
  <c r="L116" i="1"/>
  <c r="P116" i="1" s="1"/>
  <c r="Q116" i="1" s="1"/>
  <c r="AB115" i="1"/>
  <c r="AA115" i="1"/>
  <c r="Y115" i="1"/>
  <c r="W115" i="1"/>
  <c r="L115" i="1"/>
  <c r="P115" i="1" s="1"/>
  <c r="Q115" i="1" s="1"/>
  <c r="AB114" i="1"/>
  <c r="AA114" i="1"/>
  <c r="Y114" i="1"/>
  <c r="W114" i="1"/>
  <c r="L114" i="1"/>
  <c r="P114" i="1" s="1"/>
  <c r="Q114" i="1" s="1"/>
  <c r="AB113" i="1"/>
  <c r="AA113" i="1"/>
  <c r="Y113" i="1"/>
  <c r="W113" i="1"/>
  <c r="L113" i="1"/>
  <c r="P113" i="1" s="1"/>
  <c r="Q113" i="1" s="1"/>
  <c r="AB112" i="1"/>
  <c r="AA112" i="1"/>
  <c r="Y112" i="1"/>
  <c r="W112" i="1"/>
  <c r="L112" i="1"/>
  <c r="P112" i="1" s="1"/>
  <c r="Q112" i="1" s="1"/>
  <c r="AB111" i="1"/>
  <c r="AA111" i="1"/>
  <c r="Y111" i="1"/>
  <c r="W111" i="1"/>
  <c r="L111" i="1"/>
  <c r="P111" i="1" s="1"/>
  <c r="Q111" i="1" s="1"/>
  <c r="AB110" i="1"/>
  <c r="AA110" i="1"/>
  <c r="Y110" i="1"/>
  <c r="W110" i="1"/>
  <c r="L110" i="1"/>
  <c r="P110" i="1" s="1"/>
  <c r="Q110" i="1" s="1"/>
  <c r="AB109" i="1"/>
  <c r="AA109" i="1"/>
  <c r="Y109" i="1"/>
  <c r="W109" i="1"/>
  <c r="L109" i="1"/>
  <c r="P109" i="1" s="1"/>
  <c r="Q109" i="1" s="1"/>
  <c r="AB108" i="1"/>
  <c r="AA108" i="1"/>
  <c r="Y108" i="1"/>
  <c r="W108" i="1"/>
  <c r="L108" i="1"/>
  <c r="P108" i="1" s="1"/>
  <c r="Q108" i="1" s="1"/>
  <c r="AB107" i="1"/>
  <c r="AA107" i="1"/>
  <c r="Y107" i="1"/>
  <c r="W107" i="1"/>
  <c r="L107" i="1"/>
  <c r="P107" i="1" s="1"/>
  <c r="Q107" i="1" s="1"/>
  <c r="AB106" i="1"/>
  <c r="AA106" i="1"/>
  <c r="Y106" i="1"/>
  <c r="W106" i="1"/>
  <c r="L106" i="1"/>
  <c r="P106" i="1" s="1"/>
  <c r="Q106" i="1" s="1"/>
  <c r="AB105" i="1"/>
  <c r="AA105" i="1"/>
  <c r="Y105" i="1"/>
  <c r="W105" i="1"/>
  <c r="L105" i="1"/>
  <c r="P105" i="1" s="1"/>
  <c r="Q105" i="1" s="1"/>
  <c r="AB104" i="1"/>
  <c r="AA104" i="1"/>
  <c r="Y104" i="1"/>
  <c r="W104" i="1"/>
  <c r="L104" i="1"/>
  <c r="P104" i="1" s="1"/>
  <c r="Q104" i="1" s="1"/>
  <c r="AB103" i="1"/>
  <c r="AA103" i="1"/>
  <c r="Y103" i="1"/>
  <c r="W103" i="1"/>
  <c r="L103" i="1"/>
  <c r="P103" i="1" s="1"/>
  <c r="Q103" i="1" s="1"/>
  <c r="AB102" i="1"/>
  <c r="AA102" i="1"/>
  <c r="Y102" i="1"/>
  <c r="W102" i="1"/>
  <c r="L102" i="1"/>
  <c r="P102" i="1" s="1"/>
  <c r="Q102" i="1" s="1"/>
  <c r="AB101" i="1"/>
  <c r="AA101" i="1"/>
  <c r="Y101" i="1"/>
  <c r="W101" i="1"/>
  <c r="L101" i="1"/>
  <c r="P101" i="1" s="1"/>
  <c r="Q101" i="1" s="1"/>
  <c r="AB100" i="1"/>
  <c r="AA100" i="1"/>
  <c r="Y100" i="1"/>
  <c r="W100" i="1"/>
  <c r="L100" i="1"/>
  <c r="P100" i="1" s="1"/>
  <c r="Q100" i="1" s="1"/>
  <c r="AB99" i="1"/>
  <c r="AA99" i="1"/>
  <c r="Y99" i="1"/>
  <c r="W99" i="1"/>
  <c r="L99" i="1"/>
  <c r="P99" i="1" s="1"/>
  <c r="Q99" i="1" s="1"/>
  <c r="AB98" i="1"/>
  <c r="AA98" i="1"/>
  <c r="Y98" i="1"/>
  <c r="W98" i="1"/>
  <c r="L98" i="1"/>
  <c r="P98" i="1" s="1"/>
  <c r="Q98" i="1" s="1"/>
  <c r="AB97" i="1"/>
  <c r="AA97" i="1"/>
  <c r="Y97" i="1"/>
  <c r="W97" i="1"/>
  <c r="L97" i="1"/>
  <c r="P97" i="1" s="1"/>
  <c r="Q97" i="1" s="1"/>
  <c r="AB96" i="1"/>
  <c r="AA96" i="1"/>
  <c r="Y96" i="1"/>
  <c r="W96" i="1"/>
  <c r="L96" i="1"/>
  <c r="P96" i="1" s="1"/>
  <c r="Q96" i="1" s="1"/>
  <c r="AB95" i="1"/>
  <c r="AA95" i="1"/>
  <c r="Y95" i="1"/>
  <c r="W95" i="1"/>
  <c r="L95" i="1"/>
  <c r="P95" i="1" s="1"/>
  <c r="Q95" i="1" s="1"/>
  <c r="AB94" i="1"/>
  <c r="AA94" i="1"/>
  <c r="Y94" i="1"/>
  <c r="W94" i="1"/>
  <c r="L94" i="1"/>
  <c r="P94" i="1" s="1"/>
  <c r="Q94" i="1" s="1"/>
  <c r="AB93" i="1"/>
  <c r="AA93" i="1"/>
  <c r="Y93" i="1"/>
  <c r="W93" i="1"/>
  <c r="L93" i="1"/>
  <c r="P93" i="1" s="1"/>
  <c r="Q93" i="1" s="1"/>
  <c r="AB92" i="1"/>
  <c r="AA92" i="1"/>
  <c r="Y92" i="1"/>
  <c r="W92" i="1"/>
  <c r="L92" i="1"/>
  <c r="P92" i="1" s="1"/>
  <c r="Q92" i="1" s="1"/>
  <c r="AB91" i="1"/>
  <c r="AA91" i="1"/>
  <c r="Y91" i="1"/>
  <c r="W91" i="1"/>
  <c r="L91" i="1"/>
  <c r="P91" i="1" s="1"/>
  <c r="Q91" i="1" s="1"/>
  <c r="AB90" i="1"/>
  <c r="AA90" i="1"/>
  <c r="Y90" i="1"/>
  <c r="W90" i="1"/>
  <c r="L90" i="1"/>
  <c r="P90" i="1" s="1"/>
  <c r="Q90" i="1" s="1"/>
  <c r="AB89" i="1"/>
  <c r="AA89" i="1"/>
  <c r="Y89" i="1"/>
  <c r="W89" i="1"/>
  <c r="L89" i="1"/>
  <c r="P89" i="1" s="1"/>
  <c r="Q89" i="1" s="1"/>
  <c r="AB88" i="1"/>
  <c r="AA88" i="1"/>
  <c r="Y88" i="1"/>
  <c r="W88" i="1"/>
  <c r="L88" i="1"/>
  <c r="P88" i="1" s="1"/>
  <c r="Q88" i="1" s="1"/>
  <c r="AB87" i="1"/>
  <c r="AA87" i="1"/>
  <c r="Y87" i="1"/>
  <c r="W87" i="1"/>
  <c r="L87" i="1"/>
  <c r="P87" i="1" s="1"/>
  <c r="Q87" i="1" s="1"/>
  <c r="AB86" i="1"/>
  <c r="AA86" i="1"/>
  <c r="Y86" i="1"/>
  <c r="W86" i="1"/>
  <c r="L86" i="1"/>
  <c r="P86" i="1" s="1"/>
  <c r="Q86" i="1" s="1"/>
  <c r="AB85" i="1"/>
  <c r="AA85" i="1"/>
  <c r="Y85" i="1"/>
  <c r="W85" i="1"/>
  <c r="L85" i="1"/>
  <c r="P85" i="1" s="1"/>
  <c r="Q85" i="1" s="1"/>
  <c r="AB84" i="1"/>
  <c r="AA84" i="1"/>
  <c r="Y84" i="1"/>
  <c r="W84" i="1"/>
  <c r="L84" i="1"/>
  <c r="P84" i="1" s="1"/>
  <c r="Q84" i="1" s="1"/>
  <c r="AB83" i="1"/>
  <c r="AA83" i="1"/>
  <c r="Y83" i="1"/>
  <c r="W83" i="1"/>
  <c r="L83" i="1"/>
  <c r="P83" i="1" s="1"/>
  <c r="Q83" i="1" s="1"/>
  <c r="AB82" i="1"/>
  <c r="AA82" i="1"/>
  <c r="Y82" i="1"/>
  <c r="W82" i="1"/>
  <c r="L82" i="1"/>
  <c r="P82" i="1" s="1"/>
  <c r="Q82" i="1" s="1"/>
  <c r="AB81" i="1"/>
  <c r="AA81" i="1"/>
  <c r="Y81" i="1"/>
  <c r="W81" i="1"/>
  <c r="L81" i="1"/>
  <c r="P81" i="1" s="1"/>
  <c r="Q81" i="1" s="1"/>
  <c r="AB80" i="1"/>
  <c r="AA80" i="1"/>
  <c r="Y80" i="1"/>
  <c r="W80" i="1"/>
  <c r="L80" i="1"/>
  <c r="P80" i="1" s="1"/>
  <c r="Q80" i="1" s="1"/>
  <c r="AB79" i="1"/>
  <c r="AA79" i="1"/>
  <c r="Y79" i="1"/>
  <c r="W79" i="1"/>
  <c r="L79" i="1"/>
  <c r="P79" i="1" s="1"/>
  <c r="Q79" i="1" s="1"/>
  <c r="AB78" i="1"/>
  <c r="AA78" i="1"/>
  <c r="Y78" i="1"/>
  <c r="W78" i="1"/>
  <c r="L78" i="1"/>
  <c r="P78" i="1" s="1"/>
  <c r="Q78" i="1" s="1"/>
  <c r="AB77" i="1"/>
  <c r="AA77" i="1"/>
  <c r="Y77" i="1"/>
  <c r="W77" i="1"/>
  <c r="L77" i="1"/>
  <c r="P77" i="1" s="1"/>
  <c r="Q77" i="1" s="1"/>
  <c r="AB76" i="1"/>
  <c r="AA76" i="1"/>
  <c r="Y76" i="1"/>
  <c r="W76" i="1"/>
  <c r="L76" i="1"/>
  <c r="P76" i="1" s="1"/>
  <c r="Q76" i="1" s="1"/>
  <c r="AB75" i="1"/>
  <c r="AA75" i="1"/>
  <c r="Y75" i="1"/>
  <c r="W75" i="1"/>
  <c r="L75" i="1"/>
  <c r="P75" i="1" s="1"/>
  <c r="Q75" i="1" s="1"/>
  <c r="AB74" i="1"/>
  <c r="AA74" i="1"/>
  <c r="Y74" i="1"/>
  <c r="W74" i="1"/>
  <c r="L74" i="1"/>
  <c r="P74" i="1" s="1"/>
  <c r="Q74" i="1" s="1"/>
  <c r="AB73" i="1"/>
  <c r="AA73" i="1"/>
  <c r="Y73" i="1"/>
  <c r="W73" i="1"/>
  <c r="L73" i="1"/>
  <c r="P73" i="1" s="1"/>
  <c r="Q73" i="1" s="1"/>
  <c r="AB72" i="1"/>
  <c r="AA72" i="1"/>
  <c r="Y72" i="1"/>
  <c r="W72" i="1"/>
  <c r="L72" i="1"/>
  <c r="P72" i="1" s="1"/>
  <c r="Q72" i="1" s="1"/>
  <c r="AB71" i="1"/>
  <c r="AA71" i="1"/>
  <c r="Y71" i="1"/>
  <c r="W71" i="1"/>
  <c r="L71" i="1"/>
  <c r="P71" i="1" s="1"/>
  <c r="Q71" i="1" s="1"/>
  <c r="AB70" i="1"/>
  <c r="AA70" i="1"/>
  <c r="Y70" i="1"/>
  <c r="W70" i="1"/>
  <c r="L70" i="1"/>
  <c r="P70" i="1" s="1"/>
  <c r="Q70" i="1" s="1"/>
  <c r="AB69" i="1"/>
  <c r="AA69" i="1"/>
  <c r="Y69" i="1"/>
  <c r="W69" i="1"/>
  <c r="L69" i="1"/>
  <c r="P69" i="1" s="1"/>
  <c r="Q69" i="1" s="1"/>
  <c r="AB68" i="1"/>
  <c r="AA68" i="1"/>
  <c r="Y68" i="1"/>
  <c r="W68" i="1"/>
  <c r="L68" i="1"/>
  <c r="P68" i="1" s="1"/>
  <c r="Q68" i="1" s="1"/>
  <c r="AB67" i="1"/>
  <c r="AA67" i="1"/>
  <c r="Y67" i="1"/>
  <c r="W67" i="1"/>
  <c r="L67" i="1"/>
  <c r="P67" i="1" s="1"/>
  <c r="Q67" i="1" s="1"/>
  <c r="AB66" i="1"/>
  <c r="AA66" i="1"/>
  <c r="Y66" i="1"/>
  <c r="W66" i="1"/>
  <c r="L66" i="1"/>
  <c r="P66" i="1" s="1"/>
  <c r="Q66" i="1" s="1"/>
  <c r="AB65" i="1"/>
  <c r="AA65" i="1"/>
  <c r="Y65" i="1"/>
  <c r="W65" i="1"/>
  <c r="L65" i="1"/>
  <c r="P65" i="1" s="1"/>
  <c r="Q65" i="1" s="1"/>
  <c r="AB64" i="1"/>
  <c r="AA64" i="1"/>
  <c r="Y64" i="1"/>
  <c r="W64" i="1"/>
  <c r="L64" i="1"/>
  <c r="P64" i="1" s="1"/>
  <c r="Q64" i="1" s="1"/>
  <c r="AB63" i="1"/>
  <c r="AA63" i="1"/>
  <c r="Y63" i="1"/>
  <c r="W63" i="1"/>
  <c r="L63" i="1"/>
  <c r="P63" i="1" s="1"/>
  <c r="Q63" i="1" s="1"/>
  <c r="AB62" i="1"/>
  <c r="AA62" i="1"/>
  <c r="Y62" i="1"/>
  <c r="W62" i="1"/>
  <c r="L62" i="1"/>
  <c r="P62" i="1" s="1"/>
  <c r="Q62" i="1" s="1"/>
  <c r="AB61" i="1"/>
  <c r="AA61" i="1"/>
  <c r="Y61" i="1"/>
  <c r="W61" i="1"/>
  <c r="L61" i="1"/>
  <c r="P61" i="1" s="1"/>
  <c r="Q61" i="1" s="1"/>
  <c r="AB60" i="1"/>
  <c r="AA60" i="1"/>
  <c r="Y60" i="1"/>
  <c r="W60" i="1"/>
  <c r="L60" i="1"/>
  <c r="P60" i="1" s="1"/>
  <c r="Q60" i="1" s="1"/>
  <c r="AB59" i="1"/>
  <c r="AA59" i="1"/>
  <c r="Y59" i="1"/>
  <c r="W59" i="1"/>
  <c r="L59" i="1"/>
  <c r="P59" i="1" s="1"/>
  <c r="Q59" i="1" s="1"/>
  <c r="AB58" i="1"/>
  <c r="AA58" i="1"/>
  <c r="Y58" i="1"/>
  <c r="W58" i="1"/>
  <c r="L58" i="1"/>
  <c r="P58" i="1" s="1"/>
  <c r="Q58" i="1" s="1"/>
  <c r="AB57" i="1"/>
  <c r="AA57" i="1"/>
  <c r="Y57" i="1"/>
  <c r="W57" i="1"/>
  <c r="L57" i="1"/>
  <c r="P57" i="1" s="1"/>
  <c r="Q57" i="1" s="1"/>
  <c r="AB56" i="1"/>
  <c r="AA56" i="1"/>
  <c r="Y56" i="1"/>
  <c r="W56" i="1"/>
  <c r="L56" i="1"/>
  <c r="P56" i="1" s="1"/>
  <c r="Q56" i="1" s="1"/>
  <c r="AB55" i="1"/>
  <c r="AA55" i="1"/>
  <c r="Y55" i="1"/>
  <c r="W55" i="1"/>
  <c r="L55" i="1"/>
  <c r="P55" i="1" s="1"/>
  <c r="Q55" i="1" s="1"/>
  <c r="AB54" i="1"/>
  <c r="AA54" i="1"/>
  <c r="Y54" i="1"/>
  <c r="W54" i="1"/>
  <c r="L54" i="1"/>
  <c r="P54" i="1" s="1"/>
  <c r="Q54" i="1" s="1"/>
  <c r="AB53" i="1"/>
  <c r="AA53" i="1"/>
  <c r="Y53" i="1"/>
  <c r="W53" i="1"/>
  <c r="L53" i="1"/>
  <c r="P53" i="1" s="1"/>
  <c r="Q53" i="1" s="1"/>
  <c r="AB52" i="1"/>
  <c r="AA52" i="1"/>
  <c r="Y52" i="1"/>
  <c r="W52" i="1"/>
  <c r="L52" i="1"/>
  <c r="P52" i="1" s="1"/>
  <c r="Q52" i="1" s="1"/>
  <c r="AB51" i="1"/>
  <c r="AA51" i="1"/>
  <c r="Y51" i="1"/>
  <c r="W51" i="1"/>
  <c r="L51" i="1"/>
  <c r="P51" i="1" s="1"/>
  <c r="Q51" i="1" s="1"/>
  <c r="AB50" i="1"/>
  <c r="AA50" i="1"/>
  <c r="Y50" i="1"/>
  <c r="W50" i="1"/>
  <c r="L50" i="1"/>
  <c r="P50" i="1" s="1"/>
  <c r="Q50" i="1" s="1"/>
  <c r="AB49" i="1"/>
  <c r="AA49" i="1"/>
  <c r="Y49" i="1"/>
  <c r="W49" i="1"/>
  <c r="L49" i="1"/>
  <c r="P49" i="1" s="1"/>
  <c r="Q49" i="1" s="1"/>
  <c r="AB48" i="1"/>
  <c r="AA48" i="1"/>
  <c r="Y48" i="1"/>
  <c r="W48" i="1"/>
  <c r="L48" i="1"/>
  <c r="P48" i="1" s="1"/>
  <c r="Q48" i="1" s="1"/>
  <c r="AB47" i="1"/>
  <c r="AA47" i="1"/>
  <c r="Y47" i="1"/>
  <c r="W47" i="1"/>
  <c r="L47" i="1"/>
  <c r="P47" i="1" s="1"/>
  <c r="Q47" i="1" s="1"/>
  <c r="AB46" i="1"/>
  <c r="AA46" i="1"/>
  <c r="Y46" i="1"/>
  <c r="W46" i="1"/>
  <c r="L46" i="1"/>
  <c r="P46" i="1" s="1"/>
  <c r="Q46" i="1" s="1"/>
  <c r="AB45" i="1"/>
  <c r="AA45" i="1"/>
  <c r="Y45" i="1"/>
  <c r="W45" i="1"/>
  <c r="L45" i="1"/>
  <c r="P45" i="1" s="1"/>
  <c r="Q45" i="1" s="1"/>
  <c r="AB44" i="1"/>
  <c r="AA44" i="1"/>
  <c r="Y44" i="1"/>
  <c r="W44" i="1"/>
  <c r="L44" i="1"/>
  <c r="P44" i="1" s="1"/>
  <c r="Q44" i="1" s="1"/>
  <c r="AB43" i="1"/>
  <c r="AA43" i="1"/>
  <c r="Y43" i="1"/>
  <c r="W43" i="1"/>
  <c r="L43" i="1"/>
  <c r="P43" i="1" s="1"/>
  <c r="Q43" i="1" s="1"/>
  <c r="AB42" i="1"/>
  <c r="AA42" i="1"/>
  <c r="Y42" i="1"/>
  <c r="W42" i="1"/>
  <c r="L42" i="1"/>
  <c r="P42" i="1" s="1"/>
  <c r="Q42" i="1" s="1"/>
  <c r="AB41" i="1"/>
  <c r="AA41" i="1"/>
  <c r="Y41" i="1"/>
  <c r="W41" i="1"/>
  <c r="L41" i="1"/>
  <c r="P41" i="1" s="1"/>
  <c r="Q41" i="1" s="1"/>
  <c r="AB40" i="1"/>
  <c r="AA40" i="1"/>
  <c r="Y40" i="1"/>
  <c r="W40" i="1"/>
  <c r="L40" i="1"/>
  <c r="P40" i="1" s="1"/>
  <c r="Q40" i="1" s="1"/>
  <c r="AB39" i="1"/>
  <c r="AA39" i="1"/>
  <c r="Y39" i="1"/>
  <c r="W39" i="1"/>
  <c r="L39" i="1"/>
  <c r="P39" i="1" s="1"/>
  <c r="Q39" i="1" s="1"/>
  <c r="AB38" i="1"/>
  <c r="AA38" i="1"/>
  <c r="Y38" i="1"/>
  <c r="W38" i="1"/>
  <c r="L38" i="1"/>
  <c r="P38" i="1" s="1"/>
  <c r="Q38" i="1" s="1"/>
  <c r="AB37" i="1"/>
  <c r="AA37" i="1"/>
  <c r="Y37" i="1"/>
  <c r="W37" i="1"/>
  <c r="L37" i="1"/>
  <c r="P37" i="1" s="1"/>
  <c r="Q37" i="1" s="1"/>
  <c r="AB36" i="1"/>
  <c r="AA36" i="1"/>
  <c r="Y36" i="1"/>
  <c r="W36" i="1"/>
  <c r="L36" i="1"/>
  <c r="P36" i="1" s="1"/>
  <c r="Q36" i="1" s="1"/>
  <c r="AB35" i="1"/>
  <c r="AA35" i="1"/>
  <c r="Y35" i="1"/>
  <c r="W35" i="1"/>
  <c r="L35" i="1"/>
  <c r="P35" i="1" s="1"/>
  <c r="Q35" i="1" s="1"/>
  <c r="AB34" i="1"/>
  <c r="AA34" i="1"/>
  <c r="Y34" i="1"/>
  <c r="W34" i="1"/>
  <c r="L34" i="1"/>
  <c r="P34" i="1" s="1"/>
  <c r="Q34" i="1" s="1"/>
  <c r="AB33" i="1"/>
  <c r="AA33" i="1"/>
  <c r="Y33" i="1"/>
  <c r="W33" i="1"/>
  <c r="L33" i="1"/>
  <c r="P33" i="1" s="1"/>
  <c r="Q33" i="1" s="1"/>
  <c r="AB32" i="1"/>
  <c r="AA32" i="1"/>
  <c r="Y32" i="1"/>
  <c r="W32" i="1"/>
  <c r="L32" i="1"/>
  <c r="P32" i="1" s="1"/>
  <c r="Q32" i="1" s="1"/>
  <c r="AB31" i="1"/>
  <c r="AA31" i="1"/>
  <c r="Y31" i="1"/>
  <c r="W31" i="1"/>
  <c r="L31" i="1"/>
  <c r="P31" i="1" s="1"/>
  <c r="Q31" i="1" s="1"/>
  <c r="AB30" i="1"/>
  <c r="AA30" i="1"/>
  <c r="Y30" i="1"/>
  <c r="W30" i="1"/>
  <c r="L30" i="1"/>
  <c r="P30" i="1" s="1"/>
  <c r="Q30" i="1" s="1"/>
  <c r="AB29" i="1"/>
  <c r="AA29" i="1"/>
  <c r="Y29" i="1"/>
  <c r="W29" i="1"/>
  <c r="L29" i="1"/>
  <c r="P29" i="1" s="1"/>
  <c r="Q29" i="1" s="1"/>
  <c r="AB28" i="1"/>
  <c r="AA28" i="1"/>
  <c r="Y28" i="1"/>
  <c r="W28" i="1"/>
  <c r="L28" i="1"/>
  <c r="P28" i="1" s="1"/>
  <c r="Q28" i="1" s="1"/>
  <c r="AB27" i="1"/>
  <c r="AA27" i="1"/>
  <c r="Y27" i="1"/>
  <c r="W27" i="1"/>
  <c r="L27" i="1"/>
  <c r="P27" i="1" s="1"/>
  <c r="Q27" i="1" s="1"/>
  <c r="AB26" i="1"/>
  <c r="AA26" i="1"/>
  <c r="Y26" i="1"/>
  <c r="W26" i="1"/>
  <c r="L26" i="1"/>
  <c r="P26" i="1" s="1"/>
  <c r="Q26" i="1" s="1"/>
  <c r="AB25" i="1"/>
  <c r="AA25" i="1"/>
  <c r="Y25" i="1"/>
  <c r="W25" i="1"/>
  <c r="L25" i="1"/>
  <c r="P25" i="1" s="1"/>
  <c r="Q25" i="1" s="1"/>
  <c r="AB24" i="1"/>
  <c r="AA24" i="1"/>
  <c r="Y24" i="1"/>
  <c r="W24" i="1"/>
  <c r="L24" i="1"/>
  <c r="P24" i="1" s="1"/>
  <c r="Q24" i="1" s="1"/>
  <c r="AB23" i="1"/>
  <c r="AA23" i="1"/>
  <c r="Y23" i="1"/>
  <c r="W23" i="1"/>
  <c r="L23" i="1"/>
  <c r="P23" i="1" s="1"/>
  <c r="Q23" i="1" s="1"/>
  <c r="AB22" i="1"/>
  <c r="AA22" i="1"/>
  <c r="Y22" i="1"/>
  <c r="W22" i="1"/>
  <c r="L22" i="1"/>
  <c r="P22" i="1" s="1"/>
  <c r="Q22" i="1" s="1"/>
  <c r="AB21" i="1"/>
  <c r="AA21" i="1"/>
  <c r="Y21" i="1"/>
  <c r="W21" i="1"/>
  <c r="L21" i="1"/>
  <c r="P21" i="1" s="1"/>
  <c r="Q21" i="1" s="1"/>
  <c r="AB20" i="1"/>
  <c r="AA20" i="1"/>
  <c r="Y20" i="1"/>
  <c r="W20" i="1"/>
  <c r="L20" i="1"/>
  <c r="P20" i="1" s="1"/>
  <c r="Q20" i="1" s="1"/>
  <c r="AB19" i="1"/>
  <c r="AA19" i="1"/>
  <c r="Y19" i="1"/>
  <c r="W19" i="1"/>
  <c r="L19" i="1"/>
  <c r="P19" i="1" s="1"/>
  <c r="Q19" i="1" s="1"/>
  <c r="AB18" i="1"/>
  <c r="AA18" i="1"/>
  <c r="Y18" i="1"/>
  <c r="W18" i="1"/>
  <c r="L18" i="1"/>
  <c r="P18" i="1" s="1"/>
  <c r="Q18" i="1" s="1"/>
  <c r="AB17" i="1"/>
  <c r="AA17" i="1"/>
  <c r="Y17" i="1"/>
  <c r="W17" i="1"/>
  <c r="L17" i="1"/>
  <c r="P17" i="1" s="1"/>
  <c r="Q17" i="1" s="1"/>
  <c r="AB16" i="1"/>
  <c r="AA16" i="1"/>
  <c r="Y16" i="1"/>
  <c r="W16" i="1"/>
  <c r="L16" i="1"/>
  <c r="P16" i="1" s="1"/>
  <c r="Q16" i="1" s="1"/>
  <c r="AB15" i="1"/>
  <c r="AA15" i="1"/>
  <c r="Y15" i="1"/>
  <c r="W15" i="1"/>
  <c r="L15" i="1"/>
  <c r="P15" i="1" s="1"/>
  <c r="Q15" i="1" s="1"/>
  <c r="AB14" i="1"/>
  <c r="AA14" i="1"/>
  <c r="Y14" i="1"/>
  <c r="W14" i="1"/>
  <c r="L14" i="1"/>
  <c r="P14" i="1" s="1"/>
  <c r="Q14" i="1" s="1"/>
  <c r="AB13" i="1"/>
  <c r="AA13" i="1"/>
  <c r="Y13" i="1"/>
  <c r="W13" i="1"/>
  <c r="L13" i="1"/>
  <c r="P13" i="1" s="1"/>
  <c r="Q13" i="1" s="1"/>
  <c r="AB12" i="1"/>
  <c r="AA12" i="1"/>
  <c r="Y12" i="1"/>
  <c r="W12" i="1"/>
  <c r="L12" i="1"/>
  <c r="P12" i="1" s="1"/>
  <c r="Q12" i="1" s="1"/>
  <c r="AB11" i="1"/>
  <c r="AA11" i="1"/>
  <c r="Y11" i="1"/>
  <c r="W11" i="1"/>
  <c r="L11" i="1"/>
  <c r="P11" i="1" s="1"/>
  <c r="Q11" i="1" s="1"/>
  <c r="AB10" i="1"/>
  <c r="AA10" i="1"/>
  <c r="Y10" i="1"/>
  <c r="W10" i="1"/>
  <c r="L10" i="1"/>
  <c r="P10" i="1" s="1"/>
  <c r="Q10" i="1" s="1"/>
  <c r="AB9" i="1"/>
  <c r="AA9" i="1"/>
  <c r="Y9" i="1"/>
  <c r="W9" i="1"/>
  <c r="L9" i="1"/>
  <c r="P9" i="1" s="1"/>
  <c r="Q9" i="1" s="1"/>
  <c r="AB8" i="1"/>
  <c r="AA8" i="1"/>
  <c r="Y8" i="1"/>
  <c r="W8" i="1"/>
  <c r="L8" i="1"/>
  <c r="P8" i="1" s="1"/>
  <c r="Q8" i="1" s="1"/>
  <c r="AB7" i="1"/>
  <c r="AA7" i="1"/>
  <c r="Y7" i="1"/>
  <c r="W7" i="1"/>
  <c r="L7" i="1"/>
  <c r="P7" i="1" s="1"/>
  <c r="Q7" i="1" s="1"/>
  <c r="AB6" i="1"/>
  <c r="AA6" i="1"/>
  <c r="Y6" i="1"/>
  <c r="W6" i="1"/>
  <c r="L6" i="1"/>
  <c r="P6" i="1" s="1"/>
  <c r="Q6" i="1" s="1"/>
  <c r="AB5" i="1"/>
  <c r="AA5" i="1"/>
  <c r="Y5" i="1"/>
  <c r="W5" i="1"/>
  <c r="L5" i="1"/>
  <c r="P5" i="1" s="1"/>
  <c r="Q5" i="1" s="1"/>
  <c r="AB4" i="1"/>
  <c r="AA4" i="1"/>
  <c r="Y4" i="1"/>
  <c r="W4" i="1"/>
  <c r="L4" i="1"/>
  <c r="P4" i="1" s="1"/>
  <c r="Q4" i="1" s="1"/>
  <c r="AB3" i="1"/>
  <c r="AA3" i="1"/>
  <c r="Y3" i="1"/>
  <c r="W3" i="1"/>
  <c r="L3" i="1"/>
  <c r="P3" i="1" s="1"/>
  <c r="Q3" i="1" s="1"/>
  <c r="AB2" i="1"/>
  <c r="AA2" i="1"/>
  <c r="Y2" i="1"/>
  <c r="W2" i="1"/>
  <c r="L2" i="1"/>
  <c r="P2" i="1" s="1"/>
  <c r="Q2" i="1" s="1"/>
</calcChain>
</file>

<file path=xl/sharedStrings.xml><?xml version="1.0" encoding="utf-8"?>
<sst xmlns="http://schemas.openxmlformats.org/spreadsheetml/2006/main" count="3572" uniqueCount="1152">
  <si>
    <t>Institution</t>
  </si>
  <si>
    <t>ID</t>
  </si>
  <si>
    <t>Author Name</t>
  </si>
  <si>
    <t>Core Field</t>
  </si>
  <si>
    <t>OpenAlex Author ID</t>
  </si>
  <si>
    <t>First Year of Publication</t>
  </si>
  <si>
    <t>Total No. of Papers</t>
  </si>
  <si>
    <t>No. of Papers (Authors &gt; 5)</t>
  </si>
  <si>
    <t>No. of Papers (First Author)</t>
  </si>
  <si>
    <t>No. of Papers (Corresponding Author)</t>
  </si>
  <si>
    <t>No. of Papers (First OR Corresponding Author)</t>
  </si>
  <si>
    <t>Years Active (Y)</t>
  </si>
  <si>
    <t>OpenAlex Profile H-Index</t>
  </si>
  <si>
    <t>OpenAlex Profile i10-Index</t>
  </si>
  <si>
    <t>OpenAlex Profile Total Citations</t>
  </si>
  <si>
    <t>M-Quotient (M = h/Y)</t>
  </si>
  <si>
    <t>HyperIndex (M-Quotient)</t>
  </si>
  <si>
    <t>AR-Index</t>
  </si>
  <si>
    <t>HyperIndex (AR-Index)</t>
  </si>
  <si>
    <t>Local H-Index</t>
  </si>
  <si>
    <t>g-index</t>
  </si>
  <si>
    <t>A-index</t>
  </si>
  <si>
    <t>r-index</t>
  </si>
  <si>
    <t>h(2)-index</t>
  </si>
  <si>
    <t>hg-index</t>
  </si>
  <si>
    <t>m-index (Median Citations in h-core)</t>
  </si>
  <si>
    <t>q2-index</t>
  </si>
  <si>
    <t>e-index</t>
  </si>
  <si>
    <t>hw-index</t>
  </si>
  <si>
    <t>Sh-index (Authorship-Weighted, Karthik et al. 2025)</t>
  </si>
  <si>
    <t>H-index (First Author papers only)</t>
  </si>
  <si>
    <t>H-index (Second Author papers only)</t>
  </si>
  <si>
    <t>H-index (Co-Author papers only)</t>
  </si>
  <si>
    <t>H-index (Corresponding Author papers only)</t>
  </si>
  <si>
    <t>Bracket</t>
  </si>
  <si>
    <t>Jawaharlal Nehru University</t>
  </si>
  <si>
    <t>JNU-1</t>
  </si>
  <si>
    <t>Abdul Quddoos</t>
  </si>
  <si>
    <t>Agricultural and Biological Sciences</t>
  </si>
  <si>
    <t>https://openalex.org/A5062982328</t>
  </si>
  <si>
    <t>Biology/Life Science/Medicine</t>
  </si>
  <si>
    <t>JNU-2</t>
  </si>
  <si>
    <t>Abhimanyu Kumar Sharma</t>
  </si>
  <si>
    <t>Social Sciences</t>
  </si>
  <si>
    <t>https://openalex.org/A5027396929</t>
  </si>
  <si>
    <t>Other</t>
  </si>
  <si>
    <t>JNU-3</t>
  </si>
  <si>
    <t>Abhimanyu Singh Arha</t>
  </si>
  <si>
    <t>https://openalex.org/A5059971856</t>
  </si>
  <si>
    <t>JNU-4</t>
  </si>
  <si>
    <t>Abhisheka Bansal</t>
  </si>
  <si>
    <t>Medicine</t>
  </si>
  <si>
    <t>https://openalex.org/A5056054349</t>
  </si>
  <si>
    <t>JNU-5</t>
  </si>
  <si>
    <t>Ajay Gudavarthy</t>
  </si>
  <si>
    <t>Arts and Humanities</t>
  </si>
  <si>
    <t>https://openalex.org/A5040752369</t>
  </si>
  <si>
    <t>JNU-6</t>
  </si>
  <si>
    <t>Ajay Kumar</t>
  </si>
  <si>
    <t>https://openalex.org/A5063524735</t>
  </si>
  <si>
    <t>JNU-7</t>
  </si>
  <si>
    <t>Ajay Kumar Saxena</t>
  </si>
  <si>
    <t>Physics and Astronomy</t>
  </si>
  <si>
    <t>https://openalex.org/A5056908946</t>
  </si>
  <si>
    <t>Core Sciences</t>
  </si>
  <si>
    <t>JNU-8</t>
  </si>
  <si>
    <t>Ajay Kumar Verma</t>
  </si>
  <si>
    <t>Biochemistry, Genetics and Molecular Biology</t>
  </si>
  <si>
    <t>https://openalex.org/A5043418068</t>
  </si>
  <si>
    <t>JNU-9</t>
  </si>
  <si>
    <t>Ajeet Kumar Sahoo</t>
  </si>
  <si>
    <t>https://openalex.org/A5058156671</t>
  </si>
  <si>
    <t>JNU-10</t>
  </si>
  <si>
    <t>Akhtar Alam</t>
  </si>
  <si>
    <t>Environmental Science</t>
  </si>
  <si>
    <t>https://openalex.org/A5001849601</t>
  </si>
  <si>
    <t>JNU-11</t>
  </si>
  <si>
    <t>Alok Kumar Singh Jha</t>
  </si>
  <si>
    <t>https://openalex.org/A5122898532</t>
  </si>
  <si>
    <t>JNU-12</t>
  </si>
  <si>
    <t>Amal Chandra Mondal</t>
  </si>
  <si>
    <t>Neuroscience</t>
  </si>
  <si>
    <t>https://openalex.org/A5018920683</t>
  </si>
  <si>
    <t>JNU-13</t>
  </si>
  <si>
    <t>Ambrish Dhaka</t>
  </si>
  <si>
    <t>https://openalex.org/A5056915712</t>
  </si>
  <si>
    <t>JNU-14</t>
  </si>
  <si>
    <t>Ameet Parameswaran</t>
  </si>
  <si>
    <t>https://openalex.org/A5017683246</t>
  </si>
  <si>
    <t>JNU-15</t>
  </si>
  <si>
    <t>Amir Ali</t>
  </si>
  <si>
    <t>Engineering</t>
  </si>
  <si>
    <t>https://openalex.org/A5100565199</t>
  </si>
  <si>
    <t>CS/Engineering</t>
  </si>
  <si>
    <t>JNU-16</t>
  </si>
  <si>
    <t>Amit K. Sharma</t>
  </si>
  <si>
    <t>https://openalex.org/A5101817203</t>
  </si>
  <si>
    <t>JNU-17</t>
  </si>
  <si>
    <t>Amit Kumar</t>
  </si>
  <si>
    <t>Materials Science</t>
  </si>
  <si>
    <t>https://openalex.org/A5100706992</t>
  </si>
  <si>
    <t>JNU-18</t>
  </si>
  <si>
    <t>Amit Kumar Mishra</t>
  </si>
  <si>
    <t>https://openalex.org/A5101787710</t>
  </si>
  <si>
    <t>JNU-19</t>
  </si>
  <si>
    <t>Amit Prakash</t>
  </si>
  <si>
    <t>https://openalex.org/A5072851396</t>
  </si>
  <si>
    <t>JNU-20</t>
  </si>
  <si>
    <t>Amit Rai</t>
  </si>
  <si>
    <t>Computer Science</t>
  </si>
  <si>
    <t>https://openalex.org/A5049059139</t>
  </si>
  <si>
    <t>JNU-21</t>
  </si>
  <si>
    <t>Amit Thorat</t>
  </si>
  <si>
    <t>https://openalex.org/A5039269937</t>
  </si>
  <si>
    <t>JNU-22</t>
  </si>
  <si>
    <t>Amitabh Mattoo</t>
  </si>
  <si>
    <t>https://openalex.org/A5108337772</t>
  </si>
  <si>
    <t>JNU-23</t>
  </si>
  <si>
    <t>Amitabh Singh</t>
  </si>
  <si>
    <t>https://openalex.org/A5103156195</t>
  </si>
  <si>
    <t>JNU-24</t>
  </si>
  <si>
    <t>Anand Ranganathan</t>
  </si>
  <si>
    <t>https://openalex.org/A5110500429</t>
  </si>
  <si>
    <t>JNU-25</t>
  </si>
  <si>
    <t>Ananda Kumar Sarkar</t>
  </si>
  <si>
    <t>https://openalex.org/A5032350251</t>
  </si>
  <si>
    <t>JNU-26</t>
  </si>
  <si>
    <t>Anil Kumar</t>
  </si>
  <si>
    <t>Business, Management and Accounting</t>
  </si>
  <si>
    <t>https://openalex.org/A5082043453</t>
  </si>
  <si>
    <t>JNU-27</t>
  </si>
  <si>
    <t>Anil Kumar Singh</t>
  </si>
  <si>
    <t>https://openalex.org/A5101585167</t>
  </si>
  <si>
    <t>JNU-28</t>
  </si>
  <si>
    <t>Ankit Chaudhary</t>
  </si>
  <si>
    <t>https://openalex.org/A5059698359</t>
  </si>
  <si>
    <t>JNU-29</t>
  </si>
  <si>
    <t>Ankit Kumar Jaiswal</t>
  </si>
  <si>
    <t>https://openalex.org/A5010560519</t>
  </si>
  <si>
    <t>JNU-30</t>
  </si>
  <si>
    <t>Ankur Yadav</t>
  </si>
  <si>
    <t>https://openalex.org/A5065353107</t>
  </si>
  <si>
    <t>JNU-31</t>
  </si>
  <si>
    <t>Anuj Sachan</t>
  </si>
  <si>
    <t>https://openalex.org/A5030028752</t>
  </si>
  <si>
    <t>JNU-32</t>
  </si>
  <si>
    <t>Arihant Kumar Vardhan</t>
  </si>
  <si>
    <t>https://openalex.org/A5047082245</t>
  </si>
  <si>
    <t>JNU-33</t>
  </si>
  <si>
    <t>Arijit Mallick</t>
  </si>
  <si>
    <t>Chemistry</t>
  </si>
  <si>
    <t>https://openalex.org/A5011568334</t>
  </si>
  <si>
    <t>JNU-34</t>
  </si>
  <si>
    <t>Arun Kumar Srivastava</t>
  </si>
  <si>
    <t>https://openalex.org/A5086548479</t>
  </si>
  <si>
    <t>JNU-35</t>
  </si>
  <si>
    <t>Arun Sidram Kharat</t>
  </si>
  <si>
    <t>https://openalex.org/A5103568594</t>
  </si>
  <si>
    <t>JNU-36</t>
  </si>
  <si>
    <t>Arvind Kumar</t>
  </si>
  <si>
    <t>https://openalex.org/A5100339532</t>
  </si>
  <si>
    <t>JNU-37</t>
  </si>
  <si>
    <t>Arvind Kumar Mishra</t>
  </si>
  <si>
    <t>https://openalex.org/A5101569339</t>
  </si>
  <si>
    <t>JNU-38</t>
  </si>
  <si>
    <t>Arvind Pratap Singh</t>
  </si>
  <si>
    <t>https://openalex.org/A5077280277</t>
  </si>
  <si>
    <t>JNU-39</t>
  </si>
  <si>
    <t>Asheesh Kumar</t>
  </si>
  <si>
    <t>https://openalex.org/A5101185261</t>
  </si>
  <si>
    <t>JNU-40</t>
  </si>
  <si>
    <t>Ashfaq Ahmad</t>
  </si>
  <si>
    <t>https://openalex.org/A5044674711</t>
  </si>
  <si>
    <t>JNU-41</t>
  </si>
  <si>
    <t>Ashis Kumar Nandi</t>
  </si>
  <si>
    <t>https://openalex.org/A5008529105</t>
  </si>
  <si>
    <t>JNU-42</t>
  </si>
  <si>
    <t>Ashish Agnihotri</t>
  </si>
  <si>
    <t>https://openalex.org/A5103509316</t>
  </si>
  <si>
    <t>JNU-43</t>
  </si>
  <si>
    <t>Ashutosh Anand</t>
  </si>
  <si>
    <t>https://openalex.org/A5006183750</t>
  </si>
  <si>
    <t>JNU-44</t>
  </si>
  <si>
    <t>Ashwani Kumar</t>
  </si>
  <si>
    <t>https://openalex.org/A5001074861</t>
  </si>
  <si>
    <t>JNU-45</t>
  </si>
  <si>
    <t>Ashwani Kumar Tiwari</t>
  </si>
  <si>
    <t>Earth and Planetary Sciences</t>
  </si>
  <si>
    <t>https://openalex.org/A5000213275</t>
  </si>
  <si>
    <t>JNU-46</t>
  </si>
  <si>
    <t>Ashwani Pareek</t>
  </si>
  <si>
    <t>https://openalex.org/A5071150450</t>
  </si>
  <si>
    <t>JNU-47</t>
  </si>
  <si>
    <t>Ashwini Kumar Arya</t>
  </si>
  <si>
    <t>https://openalex.org/A5014565209</t>
  </si>
  <si>
    <t>JNU-48</t>
  </si>
  <si>
    <t>Asutosh Srivastava</t>
  </si>
  <si>
    <t>https://openalex.org/A5110935299</t>
  </si>
  <si>
    <t>JNU-49</t>
  </si>
  <si>
    <t>Aswini Kumar Mohapatra</t>
  </si>
  <si>
    <t>https://openalex.org/A5009369704</t>
  </si>
  <si>
    <t>JNU-50</t>
  </si>
  <si>
    <t>Atul Kumar</t>
  </si>
  <si>
    <t>https://openalex.org/A5037529786</t>
  </si>
  <si>
    <t>JNU-51</t>
  </si>
  <si>
    <t>Atul Kumar Johri</t>
  </si>
  <si>
    <t>https://openalex.org/A5101585328</t>
  </si>
  <si>
    <t>JNU-52</t>
  </si>
  <si>
    <t>Atul Sood</t>
  </si>
  <si>
    <t>https://openalex.org/A5068478126</t>
  </si>
  <si>
    <t>JNU-53</t>
  </si>
  <si>
    <t>Avinash Kumar</t>
  </si>
  <si>
    <t>https://openalex.org/A5102024671</t>
  </si>
  <si>
    <t>JNU-54</t>
  </si>
  <si>
    <t>Awad Milind Eknath</t>
  </si>
  <si>
    <t>https://openalex.org/A5090374950</t>
  </si>
  <si>
    <t>JNU-55</t>
  </si>
  <si>
    <t>Azmatullah</t>
  </si>
  <si>
    <t>https://openalex.org/A5011305607</t>
  </si>
  <si>
    <t>JNU-56</t>
  </si>
  <si>
    <t>B.S. Balaji</t>
  </si>
  <si>
    <t>https://openalex.org/A5085905368</t>
  </si>
  <si>
    <t>JNU-57</t>
  </si>
  <si>
    <t>Babu Thaliath</t>
  </si>
  <si>
    <t>https://openalex.org/A5009322049</t>
  </si>
  <si>
    <t>JNU-58</t>
  </si>
  <si>
    <t>Bama Charan Mondal</t>
  </si>
  <si>
    <t>Immunology and Microbiology</t>
  </si>
  <si>
    <t>https://openalex.org/A5028970725</t>
  </si>
  <si>
    <t>JNU-59</t>
  </si>
  <si>
    <t>Benay Kumar Ray</t>
  </si>
  <si>
    <t>https://openalex.org/A5002360323</t>
  </si>
  <si>
    <t>JNU-60</t>
  </si>
  <si>
    <t>Bhagaban Kisan</t>
  </si>
  <si>
    <t>https://openalex.org/A5081467975</t>
  </si>
  <si>
    <t>JNU-61</t>
  </si>
  <si>
    <t>Bhagat Oinam</t>
  </si>
  <si>
    <t>https://openalex.org/A5041901788</t>
  </si>
  <si>
    <t>JNU-62</t>
  </si>
  <si>
    <t>Bharatee Bhusana Dash</t>
  </si>
  <si>
    <t>Economics, Econometrics and Finance</t>
  </si>
  <si>
    <t>https://openalex.org/A5068527340</t>
  </si>
  <si>
    <t>JNU-63</t>
  </si>
  <si>
    <t>Bhaskarjit Neog</t>
  </si>
  <si>
    <t>https://openalex.org/A5082615096</t>
  </si>
  <si>
    <t>JNU-64</t>
  </si>
  <si>
    <t>Bhupendra Chaudhary</t>
  </si>
  <si>
    <t>https://openalex.org/A5065866989</t>
  </si>
  <si>
    <t>JNU-65</t>
  </si>
  <si>
    <t>Bijoy Kumar Kuanr</t>
  </si>
  <si>
    <t>https://openalex.org/A5103285224</t>
  </si>
  <si>
    <t>JNU-66</t>
  </si>
  <si>
    <t>Bikram Sen Sahu</t>
  </si>
  <si>
    <t>https://openalex.org/A5047912980</t>
  </si>
  <si>
    <t>JNU-67</t>
  </si>
  <si>
    <t>Birendra Nath Prasad</t>
  </si>
  <si>
    <t>https://openalex.org/A5025382494</t>
  </si>
  <si>
    <t>JNU-68</t>
  </si>
  <si>
    <t>Brahma Prakash Singh</t>
  </si>
  <si>
    <t>https://openalex.org/A5029835058</t>
  </si>
  <si>
    <t>JNU-69</t>
  </si>
  <si>
    <t>Brajesh Kumar Pandey</t>
  </si>
  <si>
    <t>https://openalex.org/A5111791854</t>
  </si>
  <si>
    <t>JNU-70</t>
  </si>
  <si>
    <t>Brajesh Kumar Tiwari</t>
  </si>
  <si>
    <t>https://openalex.org/A5034297264</t>
  </si>
  <si>
    <t>JNU-71</t>
  </si>
  <si>
    <t>Brijesh Kumar</t>
  </si>
  <si>
    <t>https://openalex.org/A5108057105</t>
  </si>
  <si>
    <t>JNU-72</t>
  </si>
  <si>
    <t>Buddha Singh</t>
  </si>
  <si>
    <t>https://openalex.org/A5102099647</t>
  </si>
  <si>
    <t>JNU-73</t>
  </si>
  <si>
    <t>Burton Cleetus</t>
  </si>
  <si>
    <t>https://openalex.org/A5086177083</t>
  </si>
  <si>
    <t>JNU-74</t>
  </si>
  <si>
    <t>C.K. Mukhopadhyay</t>
  </si>
  <si>
    <t>Nursing</t>
  </si>
  <si>
    <t>https://openalex.org/A5083982977</t>
  </si>
  <si>
    <t>JNU-75</t>
  </si>
  <si>
    <t>Christhu Doss</t>
  </si>
  <si>
    <t>https://openalex.org/A5003680833</t>
  </si>
  <si>
    <t>JNU-76</t>
  </si>
  <si>
    <t>D.K. Lobiyal</t>
  </si>
  <si>
    <t>https://openalex.org/A5097836157</t>
  </si>
  <si>
    <t>JNU-77</t>
  </si>
  <si>
    <t>Debabrata Pal</t>
  </si>
  <si>
    <t>Decision Sciences</t>
  </si>
  <si>
    <t>https://openalex.org/A5101678851</t>
  </si>
  <si>
    <t>JNU-78</t>
  </si>
  <si>
    <t>Debashis Ghoshal</t>
  </si>
  <si>
    <t>https://openalex.org/A5002927868</t>
  </si>
  <si>
    <t>JNU-79</t>
  </si>
  <si>
    <t>Deep Narayan Pandey</t>
  </si>
  <si>
    <t>https://openalex.org/A5103217769</t>
  </si>
  <si>
    <t>JNU-80</t>
  </si>
  <si>
    <t>Deepak Kumar Mishra</t>
  </si>
  <si>
    <t>https://openalex.org/A5070631722</t>
  </si>
  <si>
    <t>JNU-81</t>
  </si>
  <si>
    <t>Deepak Sharma</t>
  </si>
  <si>
    <t>https://openalex.org/A5101463648</t>
  </si>
  <si>
    <t>JNU-82</t>
  </si>
  <si>
    <t>Deo Prakash Vidyarthi</t>
  </si>
  <si>
    <t>https://openalex.org/A5031212930</t>
  </si>
  <si>
    <t>JNU-83</t>
  </si>
  <si>
    <t>Dhananjai Kumar Pandey</t>
  </si>
  <si>
    <t>https://openalex.org/A5091744561</t>
  </si>
  <si>
    <t>JNU-84</t>
  </si>
  <si>
    <t>Dhananjay Singh</t>
  </si>
  <si>
    <t>https://openalex.org/A5057407138</t>
  </si>
  <si>
    <t>JNU-85</t>
  </si>
  <si>
    <t>Dileswar Nayak</t>
  </si>
  <si>
    <t>https://openalex.org/A5063280315</t>
  </si>
  <si>
    <t>JNU-86</t>
  </si>
  <si>
    <t>Dinabandhu Das</t>
  </si>
  <si>
    <t>https://openalex.org/A5056640283</t>
  </si>
  <si>
    <t>JNU-87</t>
  </si>
  <si>
    <t>Dinamani</t>
  </si>
  <si>
    <t>Energy</t>
  </si>
  <si>
    <t>https://openalex.org/A5042206327</t>
  </si>
  <si>
    <t>JNU-88</t>
  </si>
  <si>
    <t>Dinesh Kumar</t>
  </si>
  <si>
    <t>https://openalex.org/A5100328491</t>
  </si>
  <si>
    <t>JNU-89</t>
  </si>
  <si>
    <t>Dinesh Mohan</t>
  </si>
  <si>
    <t>https://openalex.org/A5017934209</t>
  </si>
  <si>
    <t>JNU-90</t>
  </si>
  <si>
    <t>Dipankar Ghosh</t>
  </si>
  <si>
    <t>https://openalex.org/A5088538511</t>
  </si>
  <si>
    <t>JNU-91</t>
  </si>
  <si>
    <t>Dipendra Nath Das</t>
  </si>
  <si>
    <t>https://openalex.org/A5024754392</t>
  </si>
  <si>
    <t>JNU-92</t>
  </si>
  <si>
    <t>Dipesh Pawar</t>
  </si>
  <si>
    <t>https://openalex.org/A5056279939</t>
  </si>
  <si>
    <t>JNU-93</t>
  </si>
  <si>
    <t>Elumalai Kannan</t>
  </si>
  <si>
    <t>https://openalex.org/A5059215600</t>
  </si>
  <si>
    <t>JNU-94</t>
  </si>
  <si>
    <t>F. Lalchhandama</t>
  </si>
  <si>
    <t>https://openalex.org/A5039150018</t>
  </si>
  <si>
    <t>JNU-95</t>
  </si>
  <si>
    <t>Fazil Jamal</t>
  </si>
  <si>
    <t>https://openalex.org/A5086966887</t>
  </si>
  <si>
    <t>JNU-96</t>
  </si>
  <si>
    <t>Gadde Omprasad</t>
  </si>
  <si>
    <t>https://openalex.org/A5016343036</t>
  </si>
  <si>
    <t>JNU-97</t>
  </si>
  <si>
    <t>Ganga Sahay Meena</t>
  </si>
  <si>
    <t>https://openalex.org/A5024314746</t>
  </si>
  <si>
    <t>JNU-98</t>
  </si>
  <si>
    <t>Gaurav Kumar</t>
  </si>
  <si>
    <t>https://openalex.org/A5086586305</t>
  </si>
  <si>
    <t>JNU-99</t>
  </si>
  <si>
    <t>Gaurav Tyagi</t>
  </si>
  <si>
    <t>https://openalex.org/A5034038976</t>
  </si>
  <si>
    <t>JNU-100</t>
  </si>
  <si>
    <t>Gautam Kumar Jha</t>
  </si>
  <si>
    <t>https://openalex.org/A5031859808</t>
  </si>
  <si>
    <t>JNU-101</t>
  </si>
  <si>
    <t>Girish Nath Jha</t>
  </si>
  <si>
    <t>https://openalex.org/A5017739753</t>
  </si>
  <si>
    <t>JNU-102</t>
  </si>
  <si>
    <t>Gobardhan Das</t>
  </si>
  <si>
    <t>https://openalex.org/A5078395246</t>
  </si>
  <si>
    <t>JNU-103</t>
  </si>
  <si>
    <t>Gopal Lal Meena</t>
  </si>
  <si>
    <t>https://openalex.org/A5023168770</t>
  </si>
  <si>
    <t>JNU-104</t>
  </si>
  <si>
    <t>Gulshan Sachdeva</t>
  </si>
  <si>
    <t>https://openalex.org/A5079634003</t>
  </si>
  <si>
    <t>JNU-105</t>
  </si>
  <si>
    <t>Gurram Srinivas</t>
  </si>
  <si>
    <t>https://openalex.org/A5056117939</t>
  </si>
  <si>
    <t>JNU-106</t>
  </si>
  <si>
    <t>Harish S. Wankhede</t>
  </si>
  <si>
    <t>https://openalex.org/A5010250335</t>
  </si>
  <si>
    <t>JNU-107</t>
  </si>
  <si>
    <t>Heeraman Tiwari</t>
  </si>
  <si>
    <t>https://openalex.org/A5045281881</t>
  </si>
  <si>
    <t>JNU-108</t>
  </si>
  <si>
    <t>Hriday Narayan</t>
  </si>
  <si>
    <t>https://openalex.org/A5000650352</t>
  </si>
  <si>
    <t>JNU-109</t>
  </si>
  <si>
    <t>J. Jeganaathan</t>
  </si>
  <si>
    <t>https://openalex.org/A5035292397</t>
  </si>
  <si>
    <t>JNU-110</t>
  </si>
  <si>
    <t>Jaivir Singh</t>
  </si>
  <si>
    <t>Health Professions</t>
  </si>
  <si>
    <t>https://openalex.org/A5070237192</t>
  </si>
  <si>
    <t>JNU-111</t>
  </si>
  <si>
    <t>Jasraj Meena</t>
  </si>
  <si>
    <t>https://openalex.org/A5054780202</t>
  </si>
  <si>
    <t>JNU-112</t>
  </si>
  <si>
    <t>Jayant Kumar Tripathi</t>
  </si>
  <si>
    <t>https://openalex.org/A5050384140</t>
  </si>
  <si>
    <t>JNU-113</t>
  </si>
  <si>
    <t>Jitendra Uttam</t>
  </si>
  <si>
    <t>https://openalex.org/A5108638825</t>
  </si>
  <si>
    <t>JNU-114</t>
  </si>
  <si>
    <t>Jyoti Atwal (Ms)</t>
  </si>
  <si>
    <t>https://openalex.org/A5011490916</t>
  </si>
  <si>
    <t>JNU-115</t>
  </si>
  <si>
    <t>K. Pugazhendhi</t>
  </si>
  <si>
    <t>https://openalex.org/A5070781907</t>
  </si>
  <si>
    <t>JNU-116</t>
  </si>
  <si>
    <t>Karan Singh</t>
  </si>
  <si>
    <t>https://openalex.org/A5089912109</t>
  </si>
  <si>
    <t>JNU-117</t>
  </si>
  <si>
    <t>Karunakar Kar</t>
  </si>
  <si>
    <t>https://openalex.org/A5003180633</t>
  </si>
  <si>
    <t>JNU-118</t>
  </si>
  <si>
    <t>Kashyap Kumar Dubey</t>
  </si>
  <si>
    <t>https://openalex.org/A5037735602</t>
  </si>
  <si>
    <t>JNU-119</t>
  </si>
  <si>
    <t>Kaushal Kumar</t>
  </si>
  <si>
    <t>https://openalex.org/A5027055079</t>
  </si>
  <si>
    <t>JNU-120</t>
  </si>
  <si>
    <t>Kaushik Bhaumik</t>
  </si>
  <si>
    <t>https://openalex.org/A5085728843</t>
  </si>
  <si>
    <t>JNU-121</t>
  </si>
  <si>
    <t>Kedar Singh</t>
  </si>
  <si>
    <t>https://openalex.org/A5035532521</t>
  </si>
  <si>
    <t>JNU-122</t>
  </si>
  <si>
    <t>Ketavath Kumar Naik</t>
  </si>
  <si>
    <t>https://openalex.org/A5047630357</t>
  </si>
  <si>
    <t>JNU-123</t>
  </si>
  <si>
    <t>Kethavath Kranthi Kumar</t>
  </si>
  <si>
    <t>https://openalex.org/A5087598431</t>
  </si>
  <si>
    <t>JNU-124</t>
  </si>
  <si>
    <t>Kharat Rajesh Shrikrishna</t>
  </si>
  <si>
    <t>https://openalex.org/A5027184927</t>
  </si>
  <si>
    <t>JNU-125</t>
  </si>
  <si>
    <t>Khuraijam Bijoykumar Singh</t>
  </si>
  <si>
    <t>https://openalex.org/A5028081901</t>
  </si>
  <si>
    <t>JNU-126</t>
  </si>
  <si>
    <t>Kiran Babu Uppuluri</t>
  </si>
  <si>
    <t>https://openalex.org/A5076924211</t>
  </si>
  <si>
    <t>JNU-127</t>
  </si>
  <si>
    <t>Komol Singha</t>
  </si>
  <si>
    <t>https://openalex.org/A5060499867</t>
  </si>
  <si>
    <t>JNU-128</t>
  </si>
  <si>
    <t>Krishan Kumar</t>
  </si>
  <si>
    <t>https://openalex.org/A5100739825</t>
  </si>
  <si>
    <t>JNU-129</t>
  </si>
  <si>
    <t>Krishna Mohan Pandey</t>
  </si>
  <si>
    <t>https://openalex.org/A5080197420</t>
  </si>
  <si>
    <t>JNU-130</t>
  </si>
  <si>
    <t>Krishnendra Meena</t>
  </si>
  <si>
    <t>https://openalex.org/A5088722836</t>
  </si>
  <si>
    <t>JNU-131</t>
  </si>
  <si>
    <t>Kumar Pranaw</t>
  </si>
  <si>
    <t>https://openalex.org/A5047843274</t>
  </si>
  <si>
    <t>JNU-132</t>
  </si>
  <si>
    <t>Lavish Kumar Singh</t>
  </si>
  <si>
    <t>https://openalex.org/A5101436214</t>
  </si>
  <si>
    <t>JNU-133</t>
  </si>
  <si>
    <t>Laxman Kumar Behera</t>
  </si>
  <si>
    <t>https://openalex.org/A5065078144</t>
  </si>
  <si>
    <t>JNU-134</t>
  </si>
  <si>
    <t>Lipokmar Dzuvichu</t>
  </si>
  <si>
    <t>https://openalex.org/A5041152811</t>
  </si>
  <si>
    <t>JNU-135</t>
  </si>
  <si>
    <t>Lokesh Jindal</t>
  </si>
  <si>
    <t>https://openalex.org/A5086088139</t>
  </si>
  <si>
    <t>JNU-136</t>
  </si>
  <si>
    <t>Madan Mohan</t>
  </si>
  <si>
    <t>https://openalex.org/A5088702138</t>
  </si>
  <si>
    <t>JNU-137</t>
  </si>
  <si>
    <t>Mahalakshmi R. (Ms)</t>
  </si>
  <si>
    <t>https://openalex.org/A5109727901</t>
  </si>
  <si>
    <t>JNU-138</t>
  </si>
  <si>
    <t>Mahesh Ranjan Debata</t>
  </si>
  <si>
    <t>https://openalex.org/A5004851344</t>
  </si>
  <si>
    <t>JNU-139</t>
  </si>
  <si>
    <t>Malkhan Singh</t>
  </si>
  <si>
    <t>https://openalex.org/A5112266621</t>
  </si>
  <si>
    <t>JNU-140</t>
  </si>
  <si>
    <t>Manindra Nath Thakur</t>
  </si>
  <si>
    <t>https://openalex.org/A5014512164</t>
  </si>
  <si>
    <t>JNU-141</t>
  </si>
  <si>
    <t>Manish Kumar</t>
  </si>
  <si>
    <t>https://openalex.org/A5100383545</t>
  </si>
  <si>
    <t>JNU-142</t>
  </si>
  <si>
    <t>Manjeet Baruah</t>
  </si>
  <si>
    <t>https://openalex.org/A5091357982</t>
  </si>
  <si>
    <t>JNU-143</t>
  </si>
  <si>
    <t>Manoj Kumar</t>
  </si>
  <si>
    <t>https://openalex.org/A5100763147</t>
  </si>
  <si>
    <t>JNU-144</t>
  </si>
  <si>
    <t>Manoj M. Munde</t>
  </si>
  <si>
    <t>https://openalex.org/A5027444340</t>
  </si>
  <si>
    <t>JNU-145</t>
  </si>
  <si>
    <t>Manoj Sharma</t>
  </si>
  <si>
    <t>https://openalex.org/A5038748788</t>
  </si>
  <si>
    <t>JNU-146</t>
  </si>
  <si>
    <t>Md. Mazharul Haque</t>
  </si>
  <si>
    <t>https://openalex.org/A5010420853</t>
  </si>
  <si>
    <t>JNU-147</t>
  </si>
  <si>
    <t>Md. Muddassir Quamar</t>
  </si>
  <si>
    <t>https://openalex.org/A5030350143</t>
  </si>
  <si>
    <t>JNU-148</t>
  </si>
  <si>
    <t>Md. Qutbuddin</t>
  </si>
  <si>
    <t>https://openalex.org/A5004053479</t>
  </si>
  <si>
    <t>JNU-149</t>
  </si>
  <si>
    <t>Milap Chand Sharma</t>
  </si>
  <si>
    <t>https://openalex.org/A5054150817</t>
  </si>
  <si>
    <t>JNU-150</t>
  </si>
  <si>
    <t>Milap Punia</t>
  </si>
  <si>
    <t>https://openalex.org/A5064494337</t>
  </si>
  <si>
    <t>JNU-151</t>
  </si>
  <si>
    <t>Mohammad Ajmal</t>
  </si>
  <si>
    <t>https://openalex.org/A5104233578</t>
  </si>
  <si>
    <t>JNU-152</t>
  </si>
  <si>
    <t>Mohinder Singh</t>
  </si>
  <si>
    <t>https://openalex.org/A5047235941</t>
  </si>
  <si>
    <t>JNU-153</t>
  </si>
  <si>
    <t>Mrinmoy Pramanick</t>
  </si>
  <si>
    <t>https://openalex.org/A5050947203</t>
  </si>
  <si>
    <t>JNU-154</t>
  </si>
  <si>
    <t>Mujeebur Rahman</t>
  </si>
  <si>
    <t>https://openalex.org/A5078858882</t>
  </si>
  <si>
    <t>JNU-155</t>
  </si>
  <si>
    <t>Mukesh Kumar</t>
  </si>
  <si>
    <t>https://openalex.org/A5102928812</t>
  </si>
  <si>
    <t>JNU-156</t>
  </si>
  <si>
    <t>Mukesh Kumar Giluka</t>
  </si>
  <si>
    <t>https://openalex.org/A5032273008</t>
  </si>
  <si>
    <t>JNU-157</t>
  </si>
  <si>
    <t>Mukuloth Srinivasnaik</t>
  </si>
  <si>
    <t>https://openalex.org/A5036963196</t>
  </si>
  <si>
    <t>JNU-158</t>
  </si>
  <si>
    <t>N. Chandra Segaran</t>
  </si>
  <si>
    <t>https://openalex.org/A5123486478</t>
  </si>
  <si>
    <t>JNU-159</t>
  </si>
  <si>
    <t>N. Janardhana Raju</t>
  </si>
  <si>
    <t>https://openalex.org/A5024339202</t>
  </si>
  <si>
    <t>JNU-160</t>
  </si>
  <si>
    <t>Nabiel Ansari</t>
  </si>
  <si>
    <t>https://openalex.org/A5125701435</t>
  </si>
  <si>
    <t>JNU-161</t>
  </si>
  <si>
    <t>Nalin Kumar Mohapatra</t>
  </si>
  <si>
    <t>https://openalex.org/A5003100384</t>
  </si>
  <si>
    <t>JNU-162</t>
  </si>
  <si>
    <t>Naman P. Ahuja</t>
  </si>
  <si>
    <t>https://openalex.org/A5103962436</t>
  </si>
  <si>
    <t>JNU-163</t>
  </si>
  <si>
    <t>Narender Kumar</t>
  </si>
  <si>
    <t>https://openalex.org/A5061917831</t>
  </si>
  <si>
    <t>JNU-164</t>
  </si>
  <si>
    <t>Naresh Kumar Verma</t>
  </si>
  <si>
    <t>Psychology</t>
  </si>
  <si>
    <t>https://openalex.org/A5042183745</t>
  </si>
  <si>
    <t>JNU-165</t>
  </si>
  <si>
    <t>Nataraju Adarasupally</t>
  </si>
  <si>
    <t>https://openalex.org/A5015190940</t>
  </si>
  <si>
    <t>JNU-166</t>
  </si>
  <si>
    <t>Navendu Shekhar</t>
  </si>
  <si>
    <t>https://openalex.org/A5110235266</t>
  </si>
  <si>
    <t>JNU-167</t>
  </si>
  <si>
    <t>Ng. K. Francis</t>
  </si>
  <si>
    <t>https://openalex.org/A5084892013</t>
  </si>
  <si>
    <t>JNU-168</t>
  </si>
  <si>
    <t>Nikunj Makwana</t>
  </si>
  <si>
    <t>https://openalex.org/A5040404252</t>
  </si>
  <si>
    <t>JNU-169</t>
  </si>
  <si>
    <t>Nirala Ramchiary</t>
  </si>
  <si>
    <t>https://openalex.org/A5046340041</t>
  </si>
  <si>
    <t>JNU-170</t>
  </si>
  <si>
    <t>Om Prakash Meena</t>
  </si>
  <si>
    <t>https://openalex.org/A5061676969</t>
  </si>
  <si>
    <t>JNU-171</t>
  </si>
  <si>
    <t>P. Puneeth</t>
  </si>
  <si>
    <t>https://openalex.org/A5067761164</t>
  </si>
  <si>
    <t>JNU-172</t>
  </si>
  <si>
    <t>P. Sahadevan</t>
  </si>
  <si>
    <t>https://openalex.org/A5016213748</t>
  </si>
  <si>
    <t>JNU-173</t>
  </si>
  <si>
    <t>P.R. Kumaraswamy</t>
  </si>
  <si>
    <t>https://openalex.org/A5017756310</t>
  </si>
  <si>
    <t>JNU-174</t>
  </si>
  <si>
    <t>Pankaj Thakur</t>
  </si>
  <si>
    <t>https://openalex.org/A5024294527</t>
  </si>
  <si>
    <t>JNU-175</t>
  </si>
  <si>
    <t>Partho Datta</t>
  </si>
  <si>
    <t>https://openalex.org/A5053841671</t>
  </si>
  <si>
    <t>JNU-176</t>
  </si>
  <si>
    <t>Paulraj, Rajamani</t>
  </si>
  <si>
    <t>https://openalex.org/A5036290549</t>
  </si>
  <si>
    <t>JNU-177</t>
  </si>
  <si>
    <t>Pauthang Haokip</t>
  </si>
  <si>
    <t>https://openalex.org/A5080348712</t>
  </si>
  <si>
    <t>JNU-178</t>
  </si>
  <si>
    <t>Pawan Kumar</t>
  </si>
  <si>
    <t>https://openalex.org/A5100723113</t>
  </si>
  <si>
    <t>JNU-179</t>
  </si>
  <si>
    <t>Pawan Kumar Joshi</t>
  </si>
  <si>
    <t>https://openalex.org/A5111764095</t>
  </si>
  <si>
    <t>JNU-180</t>
  </si>
  <si>
    <t>Pervez Ahmed</t>
  </si>
  <si>
    <t>https://openalex.org/A5034175708</t>
  </si>
  <si>
    <t>JNU-181</t>
  </si>
  <si>
    <t>Phool Badan</t>
  </si>
  <si>
    <t>https://openalex.org/A5091186059</t>
  </si>
  <si>
    <t>JNU-182</t>
  </si>
  <si>
    <t>Piyush Pratap Singh</t>
  </si>
  <si>
    <t>https://openalex.org/A5023905510</t>
  </si>
  <si>
    <t>JNU-183</t>
  </si>
  <si>
    <t>Pradeep K. Das</t>
  </si>
  <si>
    <t>https://openalex.org/A5083176889</t>
  </si>
  <si>
    <t>JNU-184</t>
  </si>
  <si>
    <t>Prakash Chand Kandpal</t>
  </si>
  <si>
    <t>https://openalex.org/A5068437559</t>
  </si>
  <si>
    <t>JNU-185</t>
  </si>
  <si>
    <t>Prakash Kanoo</t>
  </si>
  <si>
    <t>https://openalex.org/A5006288448</t>
  </si>
  <si>
    <t>JNU-186</t>
  </si>
  <si>
    <t>Prakasha Chandra Sahoo</t>
  </si>
  <si>
    <t>https://openalex.org/A5056290866</t>
  </si>
  <si>
    <t>JNU-187</t>
  </si>
  <si>
    <t>Pramod Kumar</t>
  </si>
  <si>
    <t>https://openalex.org/A5036244345</t>
  </si>
  <si>
    <t>JNU-188</t>
  </si>
  <si>
    <t>Pranav Kumar</t>
  </si>
  <si>
    <t>https://openalex.org/A5101970839</t>
  </si>
  <si>
    <t>JNU-189</t>
  </si>
  <si>
    <t>Prasanta Sahoo</t>
  </si>
  <si>
    <t>https://openalex.org/A5015945167</t>
  </si>
  <si>
    <t>JNU-190</t>
  </si>
  <si>
    <t>Praveen Kumar Pathak</t>
  </si>
  <si>
    <t>https://openalex.org/A5069929640</t>
  </si>
  <si>
    <t>JNU-191</t>
  </si>
  <si>
    <t>Praveen Kumar Verma</t>
  </si>
  <si>
    <t>https://openalex.org/A5024968330</t>
  </si>
  <si>
    <t>JNU-192</t>
  </si>
  <si>
    <t>Pritam Mukhopadhyay</t>
  </si>
  <si>
    <t>https://openalex.org/A5016548949</t>
  </si>
  <si>
    <t>JNU-193</t>
  </si>
  <si>
    <t>Pushpendra Kumar</t>
  </si>
  <si>
    <t>https://openalex.org/A5020816259</t>
  </si>
  <si>
    <t>JNU-194</t>
  </si>
  <si>
    <t>Pushpendra Singh</t>
  </si>
  <si>
    <t>https://openalex.org/A5100770168</t>
  </si>
  <si>
    <t>JNU-195</t>
  </si>
  <si>
    <t>Rabindra Nath Mahato</t>
  </si>
  <si>
    <t>https://openalex.org/A5086732215</t>
  </si>
  <si>
    <t>JNU-196</t>
  </si>
  <si>
    <t>Rabindranath Manukonda</t>
  </si>
  <si>
    <t>https://openalex.org/A5048540917</t>
  </si>
  <si>
    <t>JNU-197</t>
  </si>
  <si>
    <t>Rahul Mishra</t>
  </si>
  <si>
    <t>https://openalex.org/A5062880530</t>
  </si>
  <si>
    <t>JNU-198</t>
  </si>
  <si>
    <t>Rahul Raj</t>
  </si>
  <si>
    <t>https://openalex.org/A5101193066</t>
  </si>
  <si>
    <t>JNU-199</t>
  </si>
  <si>
    <t>Rajan Kumar</t>
  </si>
  <si>
    <t>https://openalex.org/A5006888408</t>
  </si>
  <si>
    <t>JNU-200</t>
  </si>
  <si>
    <t>Rajarshi Dasgupta</t>
  </si>
  <si>
    <t>https://openalex.org/A5066797396</t>
  </si>
  <si>
    <t>JNU-201</t>
  </si>
  <si>
    <t>Rajbeer Singh</t>
  </si>
  <si>
    <t>https://openalex.org/A5064168893</t>
  </si>
  <si>
    <t>JNU-202</t>
  </si>
  <si>
    <t>Rajeev Kumar</t>
  </si>
  <si>
    <t>https://openalex.org/A5100656585</t>
  </si>
  <si>
    <t>JNU-203</t>
  </si>
  <si>
    <t>Rajeev Sijariya</t>
  </si>
  <si>
    <t>https://openalex.org/A5041483589</t>
  </si>
  <si>
    <t>JNU-204</t>
  </si>
  <si>
    <t>Rajendra Prasad Kundu</t>
  </si>
  <si>
    <t>https://openalex.org/A5056818680</t>
  </si>
  <si>
    <t>JNU-205</t>
  </si>
  <si>
    <t>Rajesh Kumar Jangir</t>
  </si>
  <si>
    <t>https://openalex.org/A5004703677</t>
  </si>
  <si>
    <t>JNU-206</t>
  </si>
  <si>
    <t>Rajesh Mishra</t>
  </si>
  <si>
    <t>https://openalex.org/A5048985467</t>
  </si>
  <si>
    <t>JNU-207</t>
  </si>
  <si>
    <t>Rajesh Rajagopalan</t>
  </si>
  <si>
    <t>https://openalex.org/A5080630664</t>
  </si>
  <si>
    <t>JNU-208</t>
  </si>
  <si>
    <t>Rajib Dasgupta</t>
  </si>
  <si>
    <t>https://openalex.org/A5052094116</t>
  </si>
  <si>
    <t>JNU-209</t>
  </si>
  <si>
    <t>Rajiv Saxena</t>
  </si>
  <si>
    <t>https://openalex.org/A5080593248</t>
  </si>
  <si>
    <t>JNU-210</t>
  </si>
  <si>
    <t>Raju L. Chowhan</t>
  </si>
  <si>
    <t>https://openalex.org/A5014363851</t>
  </si>
  <si>
    <t>JNU-211</t>
  </si>
  <si>
    <t>Raju Parghi</t>
  </si>
  <si>
    <t>https://openalex.org/A5022002574</t>
  </si>
  <si>
    <t>JNU-212</t>
  </si>
  <si>
    <t>Rakesh Batabyal</t>
  </si>
  <si>
    <t>https://openalex.org/A5077219818</t>
  </si>
  <si>
    <t>JNU-213</t>
  </si>
  <si>
    <t>Rakesh Kumar</t>
  </si>
  <si>
    <t>https://openalex.org/A5100719860</t>
  </si>
  <si>
    <t>JNU-214</t>
  </si>
  <si>
    <t>Rakesh Kumar Meena</t>
  </si>
  <si>
    <t>https://openalex.org/A5005356069</t>
  </si>
  <si>
    <t>JNU-215</t>
  </si>
  <si>
    <t>Raktim Patar</t>
  </si>
  <si>
    <t>https://openalex.org/A5084264508</t>
  </si>
  <si>
    <t>JNU-216</t>
  </si>
  <si>
    <t>Ram Chandra</t>
  </si>
  <si>
    <t>https://openalex.org/A5005101531</t>
  </si>
  <si>
    <t>JNU-217</t>
  </si>
  <si>
    <t>Ram Nath Jha</t>
  </si>
  <si>
    <t>https://openalex.org/A5063779443</t>
  </si>
  <si>
    <t>JNU-218</t>
  </si>
  <si>
    <t>Ram Pravesh Kumar</t>
  </si>
  <si>
    <t>https://openalex.org/A5103107290</t>
  </si>
  <si>
    <t>JNU-219</t>
  </si>
  <si>
    <t>Ram Sagar</t>
  </si>
  <si>
    <t>https://openalex.org/A5017626310</t>
  </si>
  <si>
    <t>JNU-220</t>
  </si>
  <si>
    <t>Ramesh Kumar Aggarwal</t>
  </si>
  <si>
    <t>https://openalex.org/A5103943719</t>
  </si>
  <si>
    <t>JNU-221</t>
  </si>
  <si>
    <t>Ramovatar Meena</t>
  </si>
  <si>
    <t>https://openalex.org/A5035407565</t>
  </si>
  <si>
    <t>JNU-222</t>
  </si>
  <si>
    <t>Ramya Ranjan Patel</t>
  </si>
  <si>
    <t>https://openalex.org/A5075903835</t>
  </si>
  <si>
    <t>JNU-223</t>
  </si>
  <si>
    <t>Rana Pratap Singh</t>
  </si>
  <si>
    <t>https://openalex.org/A5101657308</t>
  </si>
  <si>
    <t>JNU-224</t>
  </si>
  <si>
    <t>Ratheesh Kumar</t>
  </si>
  <si>
    <t>https://openalex.org/A5013178989</t>
  </si>
  <si>
    <t>JNU-225</t>
  </si>
  <si>
    <t>Ratheesh Radhakrishnan</t>
  </si>
  <si>
    <t>https://openalex.org/A5024027237</t>
  </si>
  <si>
    <t>JNU-226</t>
  </si>
  <si>
    <t>Ratneshwar</t>
  </si>
  <si>
    <t>https://openalex.org/A5035593792</t>
  </si>
  <si>
    <t>JNU-227</t>
  </si>
  <si>
    <t>Ravi Kumar</t>
  </si>
  <si>
    <t>https://openalex.org/A5101769335</t>
  </si>
  <si>
    <t>JNU-228</t>
  </si>
  <si>
    <t>Ravi Kumar Umrao</t>
  </si>
  <si>
    <t>https://openalex.org/A5029759954</t>
  </si>
  <si>
    <t>JNU-229</t>
  </si>
  <si>
    <t>Ravi Shekhar</t>
  </si>
  <si>
    <t>https://openalex.org/A5053856362</t>
  </si>
  <si>
    <t>JNU-230</t>
  </si>
  <si>
    <t>Ravi Verma</t>
  </si>
  <si>
    <t>https://openalex.org/A5052089778</t>
  </si>
  <si>
    <t>JNU-231</t>
  </si>
  <si>
    <t>Ravikesh</t>
  </si>
  <si>
    <t>https://openalex.org/A5057058539</t>
  </si>
  <si>
    <t>JNU-232</t>
  </si>
  <si>
    <t>Ravindra Kumar</t>
  </si>
  <si>
    <t>https://openalex.org/A5115600451</t>
  </si>
  <si>
    <t>JNU-233</t>
  </si>
  <si>
    <t>Rituraj Singh</t>
  </si>
  <si>
    <t>https://openalex.org/A5042942512</t>
  </si>
  <si>
    <t>JNU-234</t>
  </si>
  <si>
    <t>Rizwanur Rahman</t>
  </si>
  <si>
    <t>https://openalex.org/A5070215280</t>
  </si>
  <si>
    <t>JNU-235</t>
  </si>
  <si>
    <t>Rupesh Chaturvedi</t>
  </si>
  <si>
    <t>https://openalex.org/A5102846379</t>
  </si>
  <si>
    <t>JNU-236</t>
  </si>
  <si>
    <t>S. Gunasekaran</t>
  </si>
  <si>
    <t>https://openalex.org/A5081098391</t>
  </si>
  <si>
    <t>JNU-237</t>
  </si>
  <si>
    <t>S. Shoba (Ms)</t>
  </si>
  <si>
    <t>https://openalex.org/A5050500780</t>
  </si>
  <si>
    <t>JNU-238</t>
  </si>
  <si>
    <t>S. Sreekesh</t>
  </si>
  <si>
    <t>https://openalex.org/A5014846534</t>
  </si>
  <si>
    <t>JNU-239</t>
  </si>
  <si>
    <t>S. Srinivasa Rao</t>
  </si>
  <si>
    <t>https://openalex.org/A5110434279</t>
  </si>
  <si>
    <t>JNU-240</t>
  </si>
  <si>
    <t>S.K. Dhar</t>
  </si>
  <si>
    <t>https://openalex.org/A5053911817</t>
  </si>
  <si>
    <t>JNU-241</t>
  </si>
  <si>
    <t>Saitya Brata Das</t>
  </si>
  <si>
    <t>https://openalex.org/A5047613079</t>
  </si>
  <si>
    <t>JNU-242</t>
  </si>
  <si>
    <t>Sakti Prasad Srichandan</t>
  </si>
  <si>
    <t>https://openalex.org/A5092199870</t>
  </si>
  <si>
    <t>JNU-243</t>
  </si>
  <si>
    <t>Sami Ahmad Khan</t>
  </si>
  <si>
    <t>https://openalex.org/A5037543718</t>
  </si>
  <si>
    <t>JNU-244</t>
  </si>
  <si>
    <t>Sandeep Kumar</t>
  </si>
  <si>
    <t>https://openalex.org/A5101768757</t>
  </si>
  <si>
    <t>JNU-245</t>
  </si>
  <si>
    <t>Sandeep Saxena</t>
  </si>
  <si>
    <t>https://openalex.org/A5105527672</t>
  </si>
  <si>
    <t>JNU-246</t>
  </si>
  <si>
    <t>Sandip Kumar Mishra</t>
  </si>
  <si>
    <t>https://openalex.org/A5052092266</t>
  </si>
  <si>
    <t>JNU-247</t>
  </si>
  <si>
    <t>Sandip Kumar Singh</t>
  </si>
  <si>
    <t>https://openalex.org/A5060426851</t>
  </si>
  <si>
    <t>JNU-248</t>
  </si>
  <si>
    <t>Sangmesh</t>
  </si>
  <si>
    <t>https://openalex.org/A5116008216</t>
  </si>
  <si>
    <t>JNU-249</t>
  </si>
  <si>
    <t>Sanjay Kumar Bhardwaj</t>
  </si>
  <si>
    <t>https://openalex.org/A5078582869</t>
  </si>
  <si>
    <t>JNU-250</t>
  </si>
  <si>
    <t>Sanjay Kumar Jha</t>
  </si>
  <si>
    <t>https://openalex.org/A5101864225</t>
  </si>
  <si>
    <t>JNU-251</t>
  </si>
  <si>
    <t>Sanjay Kumar Pandey</t>
  </si>
  <si>
    <t>https://openalex.org/A5124079942</t>
  </si>
  <si>
    <t>JNU-252</t>
  </si>
  <si>
    <t>Sanjay Puri</t>
  </si>
  <si>
    <t>https://openalex.org/A5039981543</t>
  </si>
  <si>
    <t>JNU-253</t>
  </si>
  <si>
    <t>Sanjeev Sharma</t>
  </si>
  <si>
    <t>https://openalex.org/A5100365785</t>
  </si>
  <si>
    <t>JNU-254</t>
  </si>
  <si>
    <t>Santosh Kumar Ranjan</t>
  </si>
  <si>
    <t>https://openalex.org/A5024619877</t>
  </si>
  <si>
    <t>JNU-255</t>
  </si>
  <si>
    <t>Santosh Kumar Shukla</t>
  </si>
  <si>
    <t>https://openalex.org/A5101969481</t>
  </si>
  <si>
    <t>JNU-256</t>
  </si>
  <si>
    <t>Saradindu Bhaduri</t>
  </si>
  <si>
    <t>https://openalex.org/A5025786192</t>
  </si>
  <si>
    <t>JNU-257</t>
  </si>
  <si>
    <t>Satish Chand</t>
  </si>
  <si>
    <t>https://openalex.org/A5037033692</t>
  </si>
  <si>
    <t>JNU-258</t>
  </si>
  <si>
    <t>Satish Chandra Garkoti</t>
  </si>
  <si>
    <t>https://openalex.org/A5044534043</t>
  </si>
  <si>
    <t>JNU-259</t>
  </si>
  <si>
    <t>Satya Narayan Prasad</t>
  </si>
  <si>
    <t>https://openalex.org/A5063005007</t>
  </si>
  <si>
    <t>JNU-260</t>
  </si>
  <si>
    <t>Satyendra Singh</t>
  </si>
  <si>
    <t>https://openalex.org/A5100764982</t>
  </si>
  <si>
    <t>JNU-261</t>
  </si>
  <si>
    <t>Saugata Bhaduri</t>
  </si>
  <si>
    <t>https://openalex.org/A5048031220</t>
  </si>
  <si>
    <t>JNU-262</t>
  </si>
  <si>
    <t>Saumen Chattopadhyay</t>
  </si>
  <si>
    <t>https://openalex.org/A5053294440</t>
  </si>
  <si>
    <t>JNU-263</t>
  </si>
  <si>
    <t>Saumyajit Ray</t>
  </si>
  <si>
    <t>https://openalex.org/A5000246057</t>
  </si>
  <si>
    <t>JNU-264</t>
  </si>
  <si>
    <t>Saurabh Kumar Sharma</t>
  </si>
  <si>
    <t>https://openalex.org/A5086218866</t>
  </si>
  <si>
    <t>JNU-265</t>
  </si>
  <si>
    <t>Sayantan Mandal</t>
  </si>
  <si>
    <t>https://openalex.org/A5034766740</t>
  </si>
  <si>
    <t>JNU-266</t>
  </si>
  <si>
    <t>Shakti Kumar</t>
  </si>
  <si>
    <t>https://openalex.org/A5089251816</t>
  </si>
  <si>
    <t>JNU-267</t>
  </si>
  <si>
    <t>Shantesh Kumar Singh</t>
  </si>
  <si>
    <t>https://openalex.org/A5056717331</t>
  </si>
  <si>
    <t>JNU-268</t>
  </si>
  <si>
    <t>Shashank Vadlamani</t>
  </si>
  <si>
    <t>https://openalex.org/A5061442135</t>
  </si>
  <si>
    <t>JNU-269</t>
  </si>
  <si>
    <t>Shekhar Mallick</t>
  </si>
  <si>
    <t>https://openalex.org/A5028679373</t>
  </si>
  <si>
    <t>JNU-270</t>
  </si>
  <si>
    <t>Shiv Prakash</t>
  </si>
  <si>
    <t>https://openalex.org/A5071528383</t>
  </si>
  <si>
    <t>JNU-271</t>
  </si>
  <si>
    <t>Shivaji Kumar</t>
  </si>
  <si>
    <t>https://openalex.org/A5103786604</t>
  </si>
  <si>
    <t>JNU-272</t>
  </si>
  <si>
    <t>Shubh Gupta</t>
  </si>
  <si>
    <t>https://openalex.org/A5018527831</t>
  </si>
  <si>
    <t>JNU-273</t>
  </si>
  <si>
    <t>Sigamani Panneer</t>
  </si>
  <si>
    <t>https://openalex.org/A5002812609</t>
  </si>
  <si>
    <t>JNU-274</t>
  </si>
  <si>
    <t>Sobhan Sen</t>
  </si>
  <si>
    <t>https://openalex.org/A5001998891</t>
  </si>
  <si>
    <t>JNU-275</t>
  </si>
  <si>
    <t>Someshwar Rao Sagurthi</t>
  </si>
  <si>
    <t>https://openalex.org/A5017368792</t>
  </si>
  <si>
    <t>JNU-276</t>
  </si>
  <si>
    <t>Sonu Saini</t>
  </si>
  <si>
    <t>https://openalex.org/A5060654870</t>
  </si>
  <si>
    <t>JNU-277</t>
  </si>
  <si>
    <t>Soumyabrata Choudhury</t>
  </si>
  <si>
    <t>https://openalex.org/A5072091960</t>
  </si>
  <si>
    <t>JNU-278</t>
  </si>
  <si>
    <t>Srikanth Kondapalli</t>
  </si>
  <si>
    <t>https://openalex.org/A5028273940</t>
  </si>
  <si>
    <t>JNU-279</t>
  </si>
  <si>
    <t>Stanzin Dawa</t>
  </si>
  <si>
    <t>https://openalex.org/A5019793126</t>
  </si>
  <si>
    <t>JNU-280</t>
  </si>
  <si>
    <t>Subhash Chandra Patel</t>
  </si>
  <si>
    <t>https://openalex.org/A5079956443</t>
  </si>
  <si>
    <t>JNU-281</t>
  </si>
  <si>
    <t>Subhasis Ghosh</t>
  </si>
  <si>
    <t>https://openalex.org/A5077271317</t>
  </si>
  <si>
    <t>JNU-282</t>
  </si>
  <si>
    <t>Subrata Guha</t>
  </si>
  <si>
    <t>https://openalex.org/A5009339077</t>
  </si>
  <si>
    <t>JNU-283</t>
  </si>
  <si>
    <t>Sudesh Yadav</t>
  </si>
  <si>
    <t>https://openalex.org/A5068733561</t>
  </si>
  <si>
    <t>JNU-284</t>
  </si>
  <si>
    <t>Sudhakar Vaddi</t>
  </si>
  <si>
    <t>https://openalex.org/A5071857727</t>
  </si>
  <si>
    <t>JNU-285</t>
  </si>
  <si>
    <t>Sudhir Kumar</t>
  </si>
  <si>
    <t>https://openalex.org/A5000079748</t>
  </si>
  <si>
    <t>JNU-286</t>
  </si>
  <si>
    <t>Sudhir Kumar Suthar</t>
  </si>
  <si>
    <t>https://openalex.org/A5059704409</t>
  </si>
  <si>
    <t>JNU-287</t>
  </si>
  <si>
    <t>Sugato Dasgupta</t>
  </si>
  <si>
    <t>https://openalex.org/A5055386160</t>
  </si>
  <si>
    <t>JNU-288</t>
  </si>
  <si>
    <t>Sujith K.</t>
  </si>
  <si>
    <t>https://openalex.org/A5044533550</t>
  </si>
  <si>
    <t>JNU-289</t>
  </si>
  <si>
    <t>Sujoy Chakravarty</t>
  </si>
  <si>
    <t>https://openalex.org/A5060251297</t>
  </si>
  <si>
    <t>JNU-290</t>
  </si>
  <si>
    <t>Suman Das</t>
  </si>
  <si>
    <t>https://openalex.org/A5022515403</t>
  </si>
  <si>
    <t>JNU-291</t>
  </si>
  <si>
    <t>Suneel Kateriya</t>
  </si>
  <si>
    <t>https://openalex.org/A5086859980</t>
  </si>
  <si>
    <t>JNU-292</t>
  </si>
  <si>
    <t>Suraj Mal</t>
  </si>
  <si>
    <t>https://openalex.org/A5007971117</t>
  </si>
  <si>
    <t>JNU-293</t>
  </si>
  <si>
    <t>Surajit Das</t>
  </si>
  <si>
    <t>https://openalex.org/A5033785745</t>
  </si>
  <si>
    <t>JNU-294</t>
  </si>
  <si>
    <t>Surajit Mazumdar</t>
  </si>
  <si>
    <t>https://openalex.org/A5031128804</t>
  </si>
  <si>
    <t>JNU-295</t>
  </si>
  <si>
    <t>Suresh Babu G.S.</t>
  </si>
  <si>
    <t>https://openalex.org/A5015093746</t>
  </si>
  <si>
    <t>JNU-296</t>
  </si>
  <si>
    <t>Sushant Kumar Mishra</t>
  </si>
  <si>
    <t>https://openalex.org/A5102411138</t>
  </si>
  <si>
    <t>JNU-297</t>
  </si>
  <si>
    <t>Susheel Kumar</t>
  </si>
  <si>
    <t>https://openalex.org/A5100621656</t>
  </si>
  <si>
    <t>JNU-298</t>
  </si>
  <si>
    <t>Sushil Kumar</t>
  </si>
  <si>
    <t>https://openalex.org/A5005931876</t>
  </si>
  <si>
    <t>JNU-299</t>
  </si>
  <si>
    <t>Sushil Kumar Jha</t>
  </si>
  <si>
    <t>https://openalex.org/A5049506256</t>
  </si>
  <si>
    <t>JNU-300</t>
  </si>
  <si>
    <t>Syed Akhtar Husain</t>
  </si>
  <si>
    <t>https://openalex.org/A5075627594</t>
  </si>
  <si>
    <t>JNU-301</t>
  </si>
  <si>
    <t>Syed Najaf Haider</t>
  </si>
  <si>
    <t>https://openalex.org/A5011062211</t>
  </si>
  <si>
    <t>JNU-302</t>
  </si>
  <si>
    <t>T. V. Vijay Kumar</t>
  </si>
  <si>
    <t>https://openalex.org/A5082586952</t>
  </si>
  <si>
    <t>JNU-303</t>
  </si>
  <si>
    <t>T.G. Suresh</t>
  </si>
  <si>
    <t>https://openalex.org/A5109447367</t>
  </si>
  <si>
    <t>JNU-304</t>
  </si>
  <si>
    <t>Teiborlang T. Kharsyntiew</t>
  </si>
  <si>
    <t>https://openalex.org/A5081611752</t>
  </si>
  <si>
    <t>JNU-305</t>
  </si>
  <si>
    <t>Tirthankar Gayen</t>
  </si>
  <si>
    <t>https://openalex.org/A5090656698</t>
  </si>
  <si>
    <t>JNU-306</t>
  </si>
  <si>
    <t>Tsetan Namgyal</t>
  </si>
  <si>
    <t>https://openalex.org/A5011534399</t>
  </si>
  <si>
    <t>JNU-307</t>
  </si>
  <si>
    <t>Ubaidur Rahman</t>
  </si>
  <si>
    <t>https://openalex.org/A5067901560</t>
  </si>
  <si>
    <t>JNU-308</t>
  </si>
  <si>
    <t>Umesh Chandra Kulshrestha</t>
  </si>
  <si>
    <t>https://openalex.org/A5055202001</t>
  </si>
  <si>
    <t>JNU-309</t>
  </si>
  <si>
    <t>V. Bijukumar</t>
  </si>
  <si>
    <t>https://openalex.org/A5091554966</t>
  </si>
  <si>
    <t>JNU-310</t>
  </si>
  <si>
    <t>Varun Saxena</t>
  </si>
  <si>
    <t>https://openalex.org/A5006937171</t>
  </si>
  <si>
    <t>JNU-311</t>
  </si>
  <si>
    <t>Ved Prakash Gupta</t>
  </si>
  <si>
    <t>Mathematics</t>
  </si>
  <si>
    <t>https://openalex.org/A5083599026</t>
  </si>
  <si>
    <t>JNU-312</t>
  </si>
  <si>
    <t>Vibhushan Subba</t>
  </si>
  <si>
    <t>https://openalex.org/A5002639558</t>
  </si>
  <si>
    <t>JNU-313</t>
  </si>
  <si>
    <t>Vijay Kumar Goel</t>
  </si>
  <si>
    <t>https://openalex.org/A5043814323</t>
  </si>
  <si>
    <t>JNU-314</t>
  </si>
  <si>
    <t>Vijender Singh</t>
  </si>
  <si>
    <t>https://openalex.org/A5082803576</t>
  </si>
  <si>
    <t>JNU-315</t>
  </si>
  <si>
    <t>Vikas Bajpai</t>
  </si>
  <si>
    <t>https://openalex.org/A5101474164</t>
  </si>
  <si>
    <t>JNU-316</t>
  </si>
  <si>
    <t>Vikas Mittal</t>
  </si>
  <si>
    <t>https://openalex.org/A5044240021</t>
  </si>
  <si>
    <t>JNU-317</t>
  </si>
  <si>
    <t>Vikas Rawal</t>
  </si>
  <si>
    <t>https://openalex.org/A5059001784</t>
  </si>
  <si>
    <t>JNU-318</t>
  </si>
  <si>
    <t>Vikas Yadav</t>
  </si>
  <si>
    <t>https://openalex.org/A5101428684</t>
  </si>
  <si>
    <t>JNU-319</t>
  </si>
  <si>
    <t>Vikram Bansal</t>
  </si>
  <si>
    <t>https://openalex.org/A5063193338</t>
  </si>
  <si>
    <t>JNU-320</t>
  </si>
  <si>
    <t>Vimal Khawas</t>
  </si>
  <si>
    <t>https://openalex.org/A5010554830</t>
  </si>
  <si>
    <t>JNU-321</t>
  </si>
  <si>
    <t>Vinai Kumar Singh</t>
  </si>
  <si>
    <t>https://openalex.org/A5100546514</t>
  </si>
  <si>
    <t>JNU-322</t>
  </si>
  <si>
    <t>Vinay Kumar Gupta</t>
  </si>
  <si>
    <t>Dentistry</t>
  </si>
  <si>
    <t>https://openalex.org/A5104105810</t>
  </si>
  <si>
    <t>JNU-323</t>
  </si>
  <si>
    <t>Vinay Kumar Rao</t>
  </si>
  <si>
    <t>https://openalex.org/A5051598638</t>
  </si>
  <si>
    <t>JNU-324</t>
  </si>
  <si>
    <t>Vinay Shankar Prasad Sinha</t>
  </si>
  <si>
    <t>https://openalex.org/A5073225747</t>
  </si>
  <si>
    <t>JNU-325</t>
  </si>
  <si>
    <t>Vineet Prakash</t>
  </si>
  <si>
    <t>https://openalex.org/A5110673295</t>
  </si>
  <si>
    <t>JNU-326</t>
  </si>
  <si>
    <t>Vinod Kumar</t>
  </si>
  <si>
    <t>https://openalex.org/A5073231588</t>
  </si>
  <si>
    <t>JNU-327</t>
  </si>
  <si>
    <t>Virendra Singh</t>
  </si>
  <si>
    <t>https://openalex.org/A5029501364</t>
  </si>
  <si>
    <t>JNU-328</t>
  </si>
  <si>
    <t>Vivek Kumar</t>
  </si>
  <si>
    <t>https://openalex.org/A5100357359</t>
  </si>
  <si>
    <t>JNU-329</t>
  </si>
  <si>
    <t>Yagati Chinna Rao</t>
  </si>
  <si>
    <t>https://openalex.org/A5068802581</t>
  </si>
  <si>
    <t>JNU-330</t>
  </si>
  <si>
    <t>Yogendra Meena</t>
  </si>
  <si>
    <t>https://openalex.org/A5067390786</t>
  </si>
  <si>
    <t>JNU-331</t>
  </si>
  <si>
    <t>Yogesh Kumar Rai</t>
  </si>
  <si>
    <t>https://openalex.org/A5108421127</t>
  </si>
  <si>
    <t>JNU-332</t>
  </si>
  <si>
    <t>Zahid Raza</t>
  </si>
  <si>
    <t>https://openalex.org/A5020278329</t>
  </si>
  <si>
    <t>Abhijeet Dwivedi</t>
  </si>
  <si>
    <t>https://openalex.org/A5085329190</t>
  </si>
  <si>
    <t>Abhishek Srivastava</t>
  </si>
  <si>
    <t>https://openalex.org/A5137687508</t>
  </si>
  <si>
    <t>Ajoy Kumar Karnati</t>
  </si>
  <si>
    <t>https://openalex.org/A5066500409</t>
  </si>
  <si>
    <t>Akhlaque Ahmad</t>
  </si>
  <si>
    <t>https://openalex.org/A5140466718</t>
  </si>
  <si>
    <t>Allauddin Shah</t>
  </si>
  <si>
    <t>https://openalex.org/A5029828148</t>
  </si>
  <si>
    <t>Ananta Swarup Bijendra De Gurung</t>
  </si>
  <si>
    <t>https://openalex.org/A5082983588</t>
  </si>
  <si>
    <t>Angomcha Bimol Akoijam</t>
  </si>
  <si>
    <t>https://openalex.org/A5098671109</t>
  </si>
  <si>
    <t>C. Upender Rao</t>
  </si>
  <si>
    <t>https://openalex.org/A5039880758</t>
  </si>
  <si>
    <t>Chandu Doddi</t>
  </si>
  <si>
    <t>https://openalex.org/A5093751877</t>
  </si>
  <si>
    <t>Dhir Sarangi</t>
  </si>
  <si>
    <t>https://openalex.org/A5118652330</t>
  </si>
  <si>
    <t>Hemant Ritturaj Kushwaha</t>
  </si>
  <si>
    <t>Unknown</t>
  </si>
  <si>
    <t>https://openalex.org/A5141226307</t>
  </si>
  <si>
    <t>Himanshu</t>
  </si>
  <si>
    <t>https://openalex.org/A5120883662</t>
  </si>
  <si>
    <t>Jajati Keshari Pattnaik</t>
  </si>
  <si>
    <t>https://openalex.org/A5042288121</t>
  </si>
  <si>
    <t>Jeevanandam S.</t>
  </si>
  <si>
    <t>https://openalex.org/A5053919876</t>
  </si>
  <si>
    <t>Kali Chittibabu</t>
  </si>
  <si>
    <t>https://openalex.org/A5104826366</t>
  </si>
  <si>
    <t>Khangembam Romesh Singh</t>
  </si>
  <si>
    <t>https://openalex.org/A5082621037</t>
  </si>
  <si>
    <t>Khurshid Imam</t>
  </si>
  <si>
    <t>https://openalex.org/A5007664246</t>
  </si>
  <si>
    <t>Kishore Vadthya</t>
  </si>
  <si>
    <t>https://openalex.org/A5048596009</t>
  </si>
  <si>
    <t>Lakshmi Kumar TV</t>
  </si>
  <si>
    <t>https://openalex.org/A5107181068</t>
  </si>
  <si>
    <t>Mahendra Pratap Rana</t>
  </si>
  <si>
    <t>https://openalex.org/A5083297326</t>
  </si>
  <si>
    <t>Manoj Kumar Jena</t>
  </si>
  <si>
    <t>https://openalex.org/A5101061560</t>
  </si>
  <si>
    <t>Minaketan Behera</t>
  </si>
  <si>
    <t>https://openalex.org/A5124130994</t>
  </si>
  <si>
    <t>Modho Govind</t>
  </si>
  <si>
    <t>https://openalex.org/A5054474576</t>
  </si>
  <si>
    <t>Nagendra Shreeniwas</t>
  </si>
  <si>
    <t>https://openalex.org/A5028982500</t>
  </si>
  <si>
    <t>Nasib Ali</t>
  </si>
  <si>
    <t>https://openalex.org/A5124234509</t>
  </si>
  <si>
    <t>Pardeep Singh Chauhan</t>
  </si>
  <si>
    <t>https://openalex.org/A5130847343</t>
  </si>
  <si>
    <t>Priyadarsi Mukherji</t>
  </si>
  <si>
    <t>https://openalex.org/A5076435169</t>
  </si>
  <si>
    <t>Radha Mohan Meena</t>
  </si>
  <si>
    <t>https://openalex.org/A5063051467</t>
  </si>
  <si>
    <t>Rajesh Kumar Paswan</t>
  </si>
  <si>
    <t>https://openalex.org/A5138204259</t>
  </si>
  <si>
    <t>Rajneesh Kumar Gupta</t>
  </si>
  <si>
    <t>https://openalex.org/A5039521147</t>
  </si>
  <si>
    <t>Ramesh Salian</t>
  </si>
  <si>
    <t>https://openalex.org/A5062867100</t>
  </si>
  <si>
    <t>Ravi Rameshchandra Shukla</t>
  </si>
  <si>
    <t>https://openalex.org/A5103975029</t>
  </si>
  <si>
    <t>Rishi Kumar Sharma</t>
  </si>
  <si>
    <t>https://openalex.org/A5101267111</t>
  </si>
  <si>
    <t>Sachin Balkrushna Jadhav</t>
  </si>
  <si>
    <t>https://openalex.org/A5133506594</t>
  </si>
  <si>
    <t>Sandeep Kumar Pandey</t>
  </si>
  <si>
    <t>https://openalex.org/A5101233387</t>
  </si>
  <si>
    <t>Sanjay Kumar Saroj</t>
  </si>
  <si>
    <t>https://openalex.org/A5119404982</t>
  </si>
  <si>
    <t>Satyanshu Srivastava</t>
  </si>
  <si>
    <t>https://openalex.org/A5047439604</t>
  </si>
  <si>
    <t>Sebastian Thejus Cherian</t>
  </si>
  <si>
    <t>https://openalex.org/A5093688663</t>
  </si>
  <si>
    <t>Sharad Kumar Soni</t>
  </si>
  <si>
    <t>https://openalex.org/A5129348768</t>
  </si>
  <si>
    <t>Srinivasu Bathula</t>
  </si>
  <si>
    <t>https://openalex.org/A5120944929</t>
  </si>
  <si>
    <t>Subhash Kumar Thakur</t>
  </si>
  <si>
    <t>https://openalex.org/A5086866848</t>
  </si>
  <si>
    <t>Umesh Ashok Kadam</t>
  </si>
  <si>
    <t>https://openalex.org/A5070394789</t>
  </si>
  <si>
    <t>Umesh Chand Singh Yadav</t>
  </si>
  <si>
    <t>https://openalex.org/A5134764097</t>
  </si>
  <si>
    <t>Umesh Kumar Khute</t>
  </si>
  <si>
    <t>https://openalex.org/A5120865606</t>
  </si>
  <si>
    <t>Varun Kumar</t>
  </si>
  <si>
    <t>https://openalex.org/A5121852395</t>
  </si>
  <si>
    <t>Y.S. Alone</t>
  </si>
  <si>
    <t>https://openalex.org/A5008590106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</si>
</sst>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3"/>
  <sheetViews>
    <sheetView tabSelected="1" topLeftCell="N1" workbookViewId="0">
      <pane ySplit="1" topLeftCell="A2" activePane="bottomLeft" state="frozen"/>
      <selection pane="bottomLeft" activeCell="T332" sqref="T332"/>
    </sheetView>
  </sheetViews>
  <sheetFormatPr defaultRowHeight="14.4" x14ac:dyDescent="0.3"/>
  <cols>
    <col min="1" max="34" width="16" customWidth="1"/>
  </cols>
  <sheetData>
    <row r="1" spans="1:35" ht="69.59999999999999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</row>
    <row r="2" spans="1:35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v>2017</v>
      </c>
      <c r="G2" s="2">
        <v>12</v>
      </c>
      <c r="H2" s="2">
        <v>1</v>
      </c>
      <c r="I2" s="2">
        <v>1</v>
      </c>
      <c r="J2" s="2">
        <v>3</v>
      </c>
      <c r="K2" s="2">
        <v>3</v>
      </c>
      <c r="L2" s="2">
        <f t="shared" ref="L2:L65" ca="1" si="0">IF((YEAR(TODAY())-F2)&lt;=0,1,YEAR(TODAY())-F2)</f>
        <v>9</v>
      </c>
      <c r="M2" s="2">
        <v>6</v>
      </c>
      <c r="N2" s="2">
        <v>5</v>
      </c>
      <c r="O2" s="2">
        <v>93</v>
      </c>
      <c r="P2" s="2">
        <f t="shared" ref="P2:P65" ca="1" si="1">IFERROR(M2/L2,0)</f>
        <v>0.66666666666666663</v>
      </c>
      <c r="Q2" s="2">
        <f t="shared" ref="Q2:Q65" ca="1" si="2">IFERROR((100/G2)*(M2-0.1*H2+0.5*K2+P2),0)</f>
        <v>67.222222222222229</v>
      </c>
      <c r="R2" s="2">
        <v>4.9192999999999998</v>
      </c>
      <c r="S2" s="2">
        <f>IFERROR((100/G2)*(M2-0.1*H2+0.5*K2)+R2,0)</f>
        <v>66.585966666666678</v>
      </c>
      <c r="T2" s="2">
        <v>6</v>
      </c>
      <c r="U2" s="2">
        <v>9</v>
      </c>
      <c r="V2" s="2">
        <v>14.166700000000001</v>
      </c>
      <c r="W2" s="2">
        <f t="shared" ref="W2:W65" si="3">IFERROR(SQRT(V2*T2),0)</f>
        <v>9.2195553038093987</v>
      </c>
      <c r="X2" s="2">
        <v>3</v>
      </c>
      <c r="Y2" s="2">
        <f t="shared" ref="Y2:Y65" si="4">IFERROR(SQRT(T2*U2),0)</f>
        <v>7.3484692283495345</v>
      </c>
      <c r="Z2" s="2">
        <v>12.5</v>
      </c>
      <c r="AA2" s="2">
        <f t="shared" ref="AA2:AA65" si="5">IFERROR(SQRT(T2*Z2),0)</f>
        <v>8.6602540378443873</v>
      </c>
      <c r="AB2" s="2">
        <f t="shared" ref="AB2:AB65" si="6">IFERROR(SQRT(MAX(V2*T2-T2^2,0)),0)</f>
        <v>7.0000142856997085</v>
      </c>
      <c r="AC2" s="2">
        <v>15.5885</v>
      </c>
      <c r="AD2" s="2">
        <v>3</v>
      </c>
      <c r="AE2" s="2">
        <v>0</v>
      </c>
      <c r="AF2" s="2">
        <v>2</v>
      </c>
      <c r="AG2" s="2">
        <v>4</v>
      </c>
      <c r="AH2" s="2">
        <v>1</v>
      </c>
      <c r="AI2" t="s">
        <v>40</v>
      </c>
    </row>
    <row r="3" spans="1:35" x14ac:dyDescent="0.3">
      <c r="A3" s="2" t="s">
        <v>35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2006</v>
      </c>
      <c r="G3" s="2">
        <v>39</v>
      </c>
      <c r="H3" s="2">
        <v>3</v>
      </c>
      <c r="I3" s="2">
        <v>29</v>
      </c>
      <c r="J3" s="2">
        <v>21</v>
      </c>
      <c r="K3" s="2">
        <v>29</v>
      </c>
      <c r="L3" s="2">
        <f t="shared" ca="1" si="0"/>
        <v>20</v>
      </c>
      <c r="M3" s="2">
        <v>9</v>
      </c>
      <c r="N3" s="2">
        <v>7</v>
      </c>
      <c r="O3" s="2">
        <v>304</v>
      </c>
      <c r="P3" s="2">
        <f t="shared" ca="1" si="1"/>
        <v>0.45</v>
      </c>
      <c r="Q3" s="2">
        <f t="shared" ca="1" si="2"/>
        <v>60.641025641025642</v>
      </c>
      <c r="R3" s="2">
        <v>5.4173999999999998</v>
      </c>
      <c r="S3" s="2">
        <f t="shared" ref="S3:S66" si="7">IFERROR((100/G3)*(M3-0.1*H3+0.5*K3)+R3,0)</f>
        <v>64.90457948717949</v>
      </c>
      <c r="T3" s="2">
        <v>9</v>
      </c>
      <c r="U3" s="2">
        <v>17</v>
      </c>
      <c r="V3" s="2">
        <v>30.8889</v>
      </c>
      <c r="W3" s="2">
        <f t="shared" si="3"/>
        <v>16.673334999333516</v>
      </c>
      <c r="X3" s="2">
        <v>4</v>
      </c>
      <c r="Y3" s="2">
        <f t="shared" si="4"/>
        <v>12.369316876852981</v>
      </c>
      <c r="Z3" s="2">
        <v>12</v>
      </c>
      <c r="AA3" s="2">
        <f t="shared" si="5"/>
        <v>10.392304845413264</v>
      </c>
      <c r="AB3" s="2">
        <f t="shared" si="6"/>
        <v>14.035672409970246</v>
      </c>
      <c r="AC3" s="2">
        <v>28.142499999999998</v>
      </c>
      <c r="AD3" s="2">
        <v>7</v>
      </c>
      <c r="AE3" s="2">
        <v>3</v>
      </c>
      <c r="AF3" s="2">
        <v>0</v>
      </c>
      <c r="AG3" s="2">
        <v>4</v>
      </c>
      <c r="AH3" s="2">
        <v>4</v>
      </c>
      <c r="AI3" t="s">
        <v>45</v>
      </c>
    </row>
    <row r="4" spans="1:35" x14ac:dyDescent="0.3">
      <c r="A4" s="2" t="s">
        <v>35</v>
      </c>
      <c r="B4" s="2" t="s">
        <v>46</v>
      </c>
      <c r="C4" s="2" t="s">
        <v>47</v>
      </c>
      <c r="D4" s="2" t="s">
        <v>43</v>
      </c>
      <c r="E4" s="2" t="s">
        <v>48</v>
      </c>
      <c r="F4" s="2">
        <v>2016</v>
      </c>
      <c r="G4" s="2">
        <v>1</v>
      </c>
      <c r="H4" s="2">
        <v>0</v>
      </c>
      <c r="I4" s="2">
        <v>1</v>
      </c>
      <c r="J4" s="2">
        <v>1</v>
      </c>
      <c r="K4" s="2">
        <v>1</v>
      </c>
      <c r="L4" s="2">
        <f t="shared" ca="1" si="0"/>
        <v>10</v>
      </c>
      <c r="M4" s="2">
        <v>1</v>
      </c>
      <c r="N4" s="2">
        <v>0</v>
      </c>
      <c r="O4" s="2">
        <v>1</v>
      </c>
      <c r="P4" s="2">
        <f t="shared" ca="1" si="1"/>
        <v>0.1</v>
      </c>
      <c r="Q4" s="2">
        <f t="shared" ca="1" si="2"/>
        <v>160</v>
      </c>
      <c r="R4" s="2">
        <v>0.30149999999999999</v>
      </c>
      <c r="S4" s="2">
        <f t="shared" si="7"/>
        <v>150.3015</v>
      </c>
      <c r="T4" s="2">
        <v>1</v>
      </c>
      <c r="U4" s="2">
        <v>1</v>
      </c>
      <c r="V4" s="2">
        <v>1</v>
      </c>
      <c r="W4" s="2">
        <f t="shared" si="3"/>
        <v>1</v>
      </c>
      <c r="X4" s="2">
        <v>1</v>
      </c>
      <c r="Y4" s="2">
        <f t="shared" si="4"/>
        <v>1</v>
      </c>
      <c r="Z4" s="2">
        <v>1</v>
      </c>
      <c r="AA4" s="2">
        <f t="shared" si="5"/>
        <v>1</v>
      </c>
      <c r="AB4" s="2">
        <f t="shared" si="6"/>
        <v>0</v>
      </c>
      <c r="AC4" s="2">
        <v>1</v>
      </c>
      <c r="AD4" s="2">
        <v>1</v>
      </c>
      <c r="AE4" s="2">
        <v>0</v>
      </c>
      <c r="AF4" s="2">
        <v>0</v>
      </c>
      <c r="AG4" s="2">
        <v>0</v>
      </c>
      <c r="AH4" s="2">
        <v>1</v>
      </c>
      <c r="AI4" t="s">
        <v>45</v>
      </c>
    </row>
    <row r="5" spans="1:35" x14ac:dyDescent="0.3">
      <c r="A5" s="2" t="s">
        <v>35</v>
      </c>
      <c r="B5" s="2" t="s">
        <v>49</v>
      </c>
      <c r="C5" s="2" t="s">
        <v>50</v>
      </c>
      <c r="D5" s="2" t="s">
        <v>51</v>
      </c>
      <c r="E5" s="2" t="s">
        <v>52</v>
      </c>
      <c r="F5" s="2">
        <v>2012</v>
      </c>
      <c r="G5" s="2">
        <v>35</v>
      </c>
      <c r="H5" s="2">
        <v>22</v>
      </c>
      <c r="I5" s="2">
        <v>9</v>
      </c>
      <c r="J5" s="2">
        <v>10</v>
      </c>
      <c r="K5" s="2">
        <v>16</v>
      </c>
      <c r="L5" s="2">
        <f t="shared" ca="1" si="0"/>
        <v>14</v>
      </c>
      <c r="M5" s="2">
        <v>12</v>
      </c>
      <c r="N5" s="2">
        <v>13</v>
      </c>
      <c r="O5" s="2">
        <v>790</v>
      </c>
      <c r="P5" s="2">
        <f t="shared" ca="1" si="1"/>
        <v>0.8571428571428571</v>
      </c>
      <c r="Q5" s="2">
        <f t="shared" ca="1" si="2"/>
        <v>53.306122448979593</v>
      </c>
      <c r="R5" s="2">
        <v>8.5503</v>
      </c>
      <c r="S5" s="2">
        <f t="shared" si="7"/>
        <v>59.407442857142861</v>
      </c>
      <c r="T5" s="2">
        <v>12</v>
      </c>
      <c r="U5" s="2">
        <v>28</v>
      </c>
      <c r="V5" s="2">
        <v>63.5</v>
      </c>
      <c r="W5" s="2">
        <f t="shared" si="3"/>
        <v>27.604347483684521</v>
      </c>
      <c r="X5" s="2">
        <v>6</v>
      </c>
      <c r="Y5" s="2">
        <f t="shared" si="4"/>
        <v>18.330302779823359</v>
      </c>
      <c r="Z5" s="2">
        <v>43</v>
      </c>
      <c r="AA5" s="2">
        <f t="shared" si="5"/>
        <v>22.715633383201094</v>
      </c>
      <c r="AB5" s="2">
        <f t="shared" si="6"/>
        <v>24.859605789312106</v>
      </c>
      <c r="AC5" s="2">
        <v>52.867800000000003</v>
      </c>
      <c r="AD5" s="2">
        <v>8</v>
      </c>
      <c r="AE5" s="2">
        <v>4</v>
      </c>
      <c r="AF5" s="2">
        <v>2</v>
      </c>
      <c r="AG5" s="2">
        <v>5</v>
      </c>
      <c r="AH5" s="2">
        <v>4</v>
      </c>
      <c r="AI5" t="s">
        <v>40</v>
      </c>
    </row>
    <row r="6" spans="1:35" x14ac:dyDescent="0.3">
      <c r="A6" s="2" t="s">
        <v>35</v>
      </c>
      <c r="B6" s="2" t="s">
        <v>53</v>
      </c>
      <c r="C6" s="2" t="s">
        <v>54</v>
      </c>
      <c r="D6" s="2" t="s">
        <v>55</v>
      </c>
      <c r="E6" s="2" t="s">
        <v>56</v>
      </c>
      <c r="F6" s="2">
        <v>2008</v>
      </c>
      <c r="G6" s="2">
        <v>60</v>
      </c>
      <c r="H6" s="2">
        <v>3</v>
      </c>
      <c r="I6" s="2">
        <v>58</v>
      </c>
      <c r="J6" s="2">
        <v>51</v>
      </c>
      <c r="K6" s="2">
        <v>58</v>
      </c>
      <c r="L6" s="2">
        <f t="shared" ca="1" si="0"/>
        <v>18</v>
      </c>
      <c r="M6" s="2">
        <v>6</v>
      </c>
      <c r="N6" s="2">
        <v>5</v>
      </c>
      <c r="O6" s="2">
        <v>133</v>
      </c>
      <c r="P6" s="2">
        <f t="shared" ca="1" si="1"/>
        <v>0.33333333333333331</v>
      </c>
      <c r="Q6" s="2">
        <f t="shared" ca="1" si="2"/>
        <v>58.3888888888889</v>
      </c>
      <c r="R6" s="2">
        <v>2.7225000000000001</v>
      </c>
      <c r="S6" s="2">
        <f t="shared" si="7"/>
        <v>60.555833333333339</v>
      </c>
      <c r="T6" s="2">
        <v>6</v>
      </c>
      <c r="U6" s="2">
        <v>11</v>
      </c>
      <c r="V6" s="2">
        <v>17</v>
      </c>
      <c r="W6" s="2">
        <f t="shared" si="3"/>
        <v>10.099504938362077</v>
      </c>
      <c r="X6" s="2">
        <v>3</v>
      </c>
      <c r="Y6" s="2">
        <f t="shared" si="4"/>
        <v>8.1240384046359608</v>
      </c>
      <c r="Z6" s="2">
        <v>15</v>
      </c>
      <c r="AA6" s="2">
        <f t="shared" si="5"/>
        <v>9.4868329805051381</v>
      </c>
      <c r="AB6" s="2">
        <f t="shared" si="6"/>
        <v>8.1240384046359608</v>
      </c>
      <c r="AC6" s="2">
        <v>16.792899999999999</v>
      </c>
      <c r="AD6" s="2">
        <v>6</v>
      </c>
      <c r="AE6" s="2">
        <v>3</v>
      </c>
      <c r="AF6" s="2">
        <v>0</v>
      </c>
      <c r="AG6" s="2">
        <v>1</v>
      </c>
      <c r="AH6" s="2">
        <v>5</v>
      </c>
      <c r="AI6" t="s">
        <v>45</v>
      </c>
    </row>
    <row r="7" spans="1:35" x14ac:dyDescent="0.3">
      <c r="A7" s="2" t="s">
        <v>35</v>
      </c>
      <c r="B7" s="2" t="s">
        <v>57</v>
      </c>
      <c r="C7" s="2" t="s">
        <v>58</v>
      </c>
      <c r="D7" s="2" t="s">
        <v>38</v>
      </c>
      <c r="E7" s="2" t="s">
        <v>59</v>
      </c>
      <c r="F7" s="2">
        <v>1993</v>
      </c>
      <c r="G7" s="2">
        <v>161</v>
      </c>
      <c r="H7" s="2">
        <v>61</v>
      </c>
      <c r="I7" s="2">
        <v>36</v>
      </c>
      <c r="J7" s="2">
        <v>43</v>
      </c>
      <c r="K7" s="2">
        <v>64</v>
      </c>
      <c r="L7" s="2">
        <f t="shared" ca="1" si="0"/>
        <v>33</v>
      </c>
      <c r="M7" s="2">
        <v>24</v>
      </c>
      <c r="N7" s="2">
        <v>50</v>
      </c>
      <c r="O7" s="2">
        <v>2341</v>
      </c>
      <c r="P7" s="2">
        <f t="shared" ca="1" si="1"/>
        <v>0.72727272727272729</v>
      </c>
      <c r="Q7" s="2">
        <f t="shared" ca="1" si="2"/>
        <v>31.445511010728399</v>
      </c>
      <c r="R7" s="2">
        <v>16.590699999999998</v>
      </c>
      <c r="S7" s="2">
        <f t="shared" si="7"/>
        <v>47.584488819875773</v>
      </c>
      <c r="T7" s="2">
        <v>24</v>
      </c>
      <c r="U7" s="2">
        <v>45</v>
      </c>
      <c r="V7" s="2">
        <v>70.083299999999994</v>
      </c>
      <c r="W7" s="2">
        <f t="shared" si="3"/>
        <v>41.012183555621611</v>
      </c>
      <c r="X7" s="2">
        <v>8</v>
      </c>
      <c r="Y7" s="2">
        <f t="shared" si="4"/>
        <v>32.863353450309965</v>
      </c>
      <c r="Z7" s="2">
        <v>48.5</v>
      </c>
      <c r="AA7" s="2">
        <f t="shared" si="5"/>
        <v>34.117444218463959</v>
      </c>
      <c r="AB7" s="2">
        <f t="shared" si="6"/>
        <v>33.256566268934016</v>
      </c>
      <c r="AC7" s="2">
        <v>115.7411</v>
      </c>
      <c r="AD7" s="2">
        <v>18</v>
      </c>
      <c r="AE7" s="2">
        <v>6</v>
      </c>
      <c r="AF7" s="2">
        <v>9</v>
      </c>
      <c r="AG7" s="2">
        <v>15</v>
      </c>
      <c r="AH7" s="2">
        <v>16</v>
      </c>
      <c r="AI7" t="s">
        <v>40</v>
      </c>
    </row>
    <row r="8" spans="1:35" x14ac:dyDescent="0.3">
      <c r="A8" s="2" t="s">
        <v>35</v>
      </c>
      <c r="B8" s="2" t="s">
        <v>60</v>
      </c>
      <c r="C8" s="2" t="s">
        <v>61</v>
      </c>
      <c r="D8" s="2" t="s">
        <v>62</v>
      </c>
      <c r="E8" s="2" t="s">
        <v>63</v>
      </c>
      <c r="F8" s="2">
        <v>1977</v>
      </c>
      <c r="G8" s="2">
        <v>84</v>
      </c>
      <c r="H8" s="2">
        <v>11</v>
      </c>
      <c r="I8" s="2">
        <v>31</v>
      </c>
      <c r="J8" s="2">
        <v>27</v>
      </c>
      <c r="K8" s="2">
        <v>32</v>
      </c>
      <c r="L8" s="2">
        <f t="shared" ca="1" si="0"/>
        <v>49</v>
      </c>
      <c r="M8" s="2">
        <v>9</v>
      </c>
      <c r="N8" s="2">
        <v>9</v>
      </c>
      <c r="O8" s="2">
        <v>344</v>
      </c>
      <c r="P8" s="2">
        <f t="shared" ca="1" si="1"/>
        <v>0.18367346938775511</v>
      </c>
      <c r="Q8" s="2">
        <f t="shared" ca="1" si="2"/>
        <v>28.671039844509231</v>
      </c>
      <c r="R8" s="2">
        <v>4.4200999999999997</v>
      </c>
      <c r="S8" s="2">
        <f t="shared" si="7"/>
        <v>32.872480952380947</v>
      </c>
      <c r="T8" s="2">
        <v>9</v>
      </c>
      <c r="U8" s="2">
        <v>16</v>
      </c>
      <c r="V8" s="2">
        <v>24.555599999999998</v>
      </c>
      <c r="W8" s="2">
        <f t="shared" si="3"/>
        <v>14.866082200768297</v>
      </c>
      <c r="X8" s="2">
        <v>5</v>
      </c>
      <c r="Y8" s="2">
        <f t="shared" si="4"/>
        <v>12</v>
      </c>
      <c r="Z8" s="2">
        <v>26</v>
      </c>
      <c r="AA8" s="2">
        <f t="shared" si="5"/>
        <v>15.297058540778355</v>
      </c>
      <c r="AB8" s="2">
        <f t="shared" si="6"/>
        <v>11.832176469272252</v>
      </c>
      <c r="AC8" s="2">
        <v>29.240400000000001</v>
      </c>
      <c r="AD8" s="2">
        <v>7</v>
      </c>
      <c r="AE8" s="2">
        <v>1</v>
      </c>
      <c r="AF8" s="2">
        <v>3</v>
      </c>
      <c r="AG8" s="2">
        <v>7</v>
      </c>
      <c r="AH8" s="2">
        <v>5</v>
      </c>
      <c r="AI8" t="s">
        <v>64</v>
      </c>
    </row>
    <row r="9" spans="1:35" x14ac:dyDescent="0.3">
      <c r="A9" s="2" t="s">
        <v>35</v>
      </c>
      <c r="B9" s="2" t="s">
        <v>65</v>
      </c>
      <c r="C9" s="2" t="s">
        <v>66</v>
      </c>
      <c r="D9" s="2" t="s">
        <v>67</v>
      </c>
      <c r="E9" s="2" t="s">
        <v>68</v>
      </c>
      <c r="F9" s="2">
        <v>2010</v>
      </c>
      <c r="G9" s="2">
        <v>13</v>
      </c>
      <c r="H9" s="2">
        <v>5</v>
      </c>
      <c r="I9" s="2">
        <v>0</v>
      </c>
      <c r="J9" s="2">
        <v>1</v>
      </c>
      <c r="K9" s="2">
        <v>1</v>
      </c>
      <c r="L9" s="2">
        <f t="shared" ca="1" si="0"/>
        <v>16</v>
      </c>
      <c r="M9" s="2">
        <v>7</v>
      </c>
      <c r="N9" s="2">
        <v>6</v>
      </c>
      <c r="O9" s="2">
        <v>152</v>
      </c>
      <c r="P9" s="2">
        <f t="shared" ca="1" si="1"/>
        <v>0.4375</v>
      </c>
      <c r="Q9" s="2">
        <f t="shared" ca="1" si="2"/>
        <v>57.21153846153846</v>
      </c>
      <c r="R9" s="2">
        <v>5.2337999999999996</v>
      </c>
      <c r="S9" s="2">
        <f t="shared" si="7"/>
        <v>59.079953846153849</v>
      </c>
      <c r="T9" s="2">
        <v>7</v>
      </c>
      <c r="U9" s="2">
        <v>12</v>
      </c>
      <c r="V9" s="2">
        <v>19.857099999999999</v>
      </c>
      <c r="W9" s="2">
        <f t="shared" si="3"/>
        <v>11.789813399710786</v>
      </c>
      <c r="X9" s="2">
        <v>4</v>
      </c>
      <c r="Y9" s="2">
        <f t="shared" si="4"/>
        <v>9.1651513899116797</v>
      </c>
      <c r="Z9" s="2">
        <v>18</v>
      </c>
      <c r="AA9" s="2">
        <f t="shared" si="5"/>
        <v>11.224972160321824</v>
      </c>
      <c r="AB9" s="2">
        <f t="shared" si="6"/>
        <v>9.4868171691036611</v>
      </c>
      <c r="AC9" s="2">
        <v>20.4695</v>
      </c>
      <c r="AD9" s="2">
        <v>3</v>
      </c>
      <c r="AE9" s="2">
        <v>0</v>
      </c>
      <c r="AF9" s="2">
        <v>2</v>
      </c>
      <c r="AG9" s="2">
        <v>6</v>
      </c>
      <c r="AH9" s="2">
        <v>1</v>
      </c>
      <c r="AI9" t="s">
        <v>40</v>
      </c>
    </row>
    <row r="10" spans="1:35" x14ac:dyDescent="0.3">
      <c r="A10" s="2" t="s">
        <v>35</v>
      </c>
      <c r="B10" s="2" t="s">
        <v>69</v>
      </c>
      <c r="C10" s="2" t="s">
        <v>70</v>
      </c>
      <c r="D10" s="2" t="s">
        <v>38</v>
      </c>
      <c r="E10" s="2" t="s">
        <v>71</v>
      </c>
      <c r="F10" s="2">
        <v>2012</v>
      </c>
      <c r="G10" s="2">
        <v>12</v>
      </c>
      <c r="H10" s="2">
        <v>0</v>
      </c>
      <c r="I10" s="2">
        <v>3</v>
      </c>
      <c r="J10" s="2">
        <v>0</v>
      </c>
      <c r="K10" s="2">
        <v>3</v>
      </c>
      <c r="L10" s="2">
        <f t="shared" ca="1" si="0"/>
        <v>14</v>
      </c>
      <c r="M10" s="2">
        <v>2</v>
      </c>
      <c r="N10" s="2">
        <v>0</v>
      </c>
      <c r="O10" s="2">
        <v>11</v>
      </c>
      <c r="P10" s="2">
        <f t="shared" ca="1" si="1"/>
        <v>0.14285714285714285</v>
      </c>
      <c r="Q10" s="2">
        <f t="shared" ca="1" si="2"/>
        <v>30.357142857142858</v>
      </c>
      <c r="R10" s="2">
        <v>1.0724</v>
      </c>
      <c r="S10" s="2">
        <f t="shared" si="7"/>
        <v>30.239066666666666</v>
      </c>
      <c r="T10" s="2">
        <v>2</v>
      </c>
      <c r="U10" s="2">
        <v>3</v>
      </c>
      <c r="V10" s="2">
        <v>4</v>
      </c>
      <c r="W10" s="2">
        <f t="shared" si="3"/>
        <v>2.8284271247461903</v>
      </c>
      <c r="X10" s="2">
        <v>1</v>
      </c>
      <c r="Y10" s="2">
        <f t="shared" si="4"/>
        <v>2.4494897427831779</v>
      </c>
      <c r="Z10" s="2">
        <v>4</v>
      </c>
      <c r="AA10" s="2">
        <f t="shared" si="5"/>
        <v>2.8284271247461903</v>
      </c>
      <c r="AB10" s="2">
        <f t="shared" si="6"/>
        <v>2</v>
      </c>
      <c r="AC10" s="2">
        <v>3.1623000000000001</v>
      </c>
      <c r="AD10" s="2">
        <v>1</v>
      </c>
      <c r="AE10" s="2">
        <v>1</v>
      </c>
      <c r="AF10" s="2">
        <v>1</v>
      </c>
      <c r="AG10" s="2">
        <v>1</v>
      </c>
      <c r="AH10" s="2">
        <v>0</v>
      </c>
      <c r="AI10" t="s">
        <v>40</v>
      </c>
    </row>
    <row r="11" spans="1:35" x14ac:dyDescent="0.3">
      <c r="A11" s="2" t="s">
        <v>35</v>
      </c>
      <c r="B11" s="2" t="s">
        <v>72</v>
      </c>
      <c r="C11" s="2" t="s">
        <v>73</v>
      </c>
      <c r="D11" s="2" t="s">
        <v>74</v>
      </c>
      <c r="E11" s="2" t="s">
        <v>75</v>
      </c>
      <c r="F11" s="2">
        <v>1989</v>
      </c>
      <c r="G11" s="2">
        <v>76</v>
      </c>
      <c r="H11" s="2">
        <v>21</v>
      </c>
      <c r="I11" s="2">
        <v>15</v>
      </c>
      <c r="J11" s="2">
        <v>18</v>
      </c>
      <c r="K11" s="2">
        <v>22</v>
      </c>
      <c r="L11" s="2">
        <f t="shared" ca="1" si="0"/>
        <v>37</v>
      </c>
      <c r="M11" s="2">
        <v>26</v>
      </c>
      <c r="N11" s="2">
        <v>44</v>
      </c>
      <c r="O11" s="2">
        <v>2328</v>
      </c>
      <c r="P11" s="2">
        <f t="shared" ca="1" si="1"/>
        <v>0.70270270270270274</v>
      </c>
      <c r="Q11" s="2">
        <f t="shared" ca="1" si="2"/>
        <v>46.845661450924609</v>
      </c>
      <c r="R11" s="2">
        <v>15.430999999999999</v>
      </c>
      <c r="S11" s="2">
        <f t="shared" si="7"/>
        <v>61.35205263157895</v>
      </c>
      <c r="T11" s="2">
        <v>26</v>
      </c>
      <c r="U11" s="2">
        <v>47</v>
      </c>
      <c r="V11" s="2">
        <v>74.807699999999997</v>
      </c>
      <c r="W11" s="2">
        <f t="shared" si="3"/>
        <v>44.102156409862772</v>
      </c>
      <c r="X11" s="2">
        <v>8</v>
      </c>
      <c r="Y11" s="2">
        <f t="shared" si="4"/>
        <v>34.957116585897069</v>
      </c>
      <c r="Z11" s="2">
        <v>54</v>
      </c>
      <c r="AA11" s="2">
        <f t="shared" si="5"/>
        <v>37.469987990390386</v>
      </c>
      <c r="AB11" s="2">
        <f t="shared" si="6"/>
        <v>35.623029068286712</v>
      </c>
      <c r="AC11" s="2">
        <v>130.33420000000001</v>
      </c>
      <c r="AD11" s="2">
        <v>16</v>
      </c>
      <c r="AE11" s="2">
        <v>2</v>
      </c>
      <c r="AF11" s="2">
        <v>9</v>
      </c>
      <c r="AG11" s="2">
        <v>16</v>
      </c>
      <c r="AH11" s="2">
        <v>12</v>
      </c>
      <c r="AI11" t="s">
        <v>45</v>
      </c>
    </row>
    <row r="12" spans="1:35" x14ac:dyDescent="0.3">
      <c r="A12" s="2" t="s">
        <v>35</v>
      </c>
      <c r="B12" s="2" t="s">
        <v>76</v>
      </c>
      <c r="C12" s="2" t="s">
        <v>77</v>
      </c>
      <c r="D12" s="2" t="s">
        <v>62</v>
      </c>
      <c r="E12" s="2" t="s">
        <v>78</v>
      </c>
      <c r="F12" s="2">
        <v>2026</v>
      </c>
      <c r="G12" s="2">
        <v>2</v>
      </c>
      <c r="H12" s="2">
        <v>1</v>
      </c>
      <c r="I12" s="2">
        <v>0</v>
      </c>
      <c r="J12" s="2">
        <v>2</v>
      </c>
      <c r="K12" s="2">
        <v>2</v>
      </c>
      <c r="L12" s="2">
        <f t="shared" ca="1" si="0"/>
        <v>1</v>
      </c>
      <c r="M12" s="2">
        <v>1</v>
      </c>
      <c r="N12" s="2">
        <v>0</v>
      </c>
      <c r="O12" s="2">
        <v>2</v>
      </c>
      <c r="P12" s="2">
        <f t="shared" ca="1" si="1"/>
        <v>1</v>
      </c>
      <c r="Q12" s="2">
        <f t="shared" ca="1" si="2"/>
        <v>145</v>
      </c>
      <c r="R12" s="2">
        <v>1</v>
      </c>
      <c r="S12" s="2">
        <f t="shared" si="7"/>
        <v>96</v>
      </c>
      <c r="T12" s="2">
        <v>1</v>
      </c>
      <c r="U12" s="2">
        <v>1</v>
      </c>
      <c r="V12" s="2">
        <v>1</v>
      </c>
      <c r="W12" s="2">
        <f t="shared" si="3"/>
        <v>1</v>
      </c>
      <c r="X12" s="2">
        <v>1</v>
      </c>
      <c r="Y12" s="2">
        <f t="shared" si="4"/>
        <v>1</v>
      </c>
      <c r="Z12" s="2">
        <v>1</v>
      </c>
      <c r="AA12" s="2">
        <f t="shared" si="5"/>
        <v>1</v>
      </c>
      <c r="AB12" s="2">
        <f t="shared" si="6"/>
        <v>0</v>
      </c>
      <c r="AC12" s="2">
        <v>1</v>
      </c>
      <c r="AD12" s="2">
        <v>1</v>
      </c>
      <c r="AE12" s="2">
        <v>0</v>
      </c>
      <c r="AF12" s="2">
        <v>0</v>
      </c>
      <c r="AG12" s="2">
        <v>0</v>
      </c>
      <c r="AH12" s="2">
        <v>1</v>
      </c>
      <c r="AI12" t="s">
        <v>64</v>
      </c>
    </row>
    <row r="13" spans="1:35" x14ac:dyDescent="0.3">
      <c r="A13" s="2" t="s">
        <v>35</v>
      </c>
      <c r="B13" s="2" t="s">
        <v>79</v>
      </c>
      <c r="C13" s="2" t="s">
        <v>80</v>
      </c>
      <c r="D13" s="2" t="s">
        <v>81</v>
      </c>
      <c r="E13" s="2" t="s">
        <v>82</v>
      </c>
      <c r="F13" s="2">
        <v>2001</v>
      </c>
      <c r="G13" s="2">
        <v>96</v>
      </c>
      <c r="H13" s="2">
        <v>19</v>
      </c>
      <c r="I13" s="2">
        <v>5</v>
      </c>
      <c r="J13" s="2">
        <v>57</v>
      </c>
      <c r="K13" s="2">
        <v>58</v>
      </c>
      <c r="L13" s="2">
        <f t="shared" ca="1" si="0"/>
        <v>25</v>
      </c>
      <c r="M13" s="2">
        <v>36</v>
      </c>
      <c r="N13" s="2">
        <v>57</v>
      </c>
      <c r="O13" s="2">
        <v>3352</v>
      </c>
      <c r="P13" s="2">
        <f t="shared" ca="1" si="1"/>
        <v>1.44</v>
      </c>
      <c r="Q13" s="2">
        <f t="shared" ca="1" si="2"/>
        <v>67.229166666666671</v>
      </c>
      <c r="R13" s="2">
        <v>17.295100000000001</v>
      </c>
      <c r="S13" s="2">
        <f t="shared" si="7"/>
        <v>83.024266666666676</v>
      </c>
      <c r="T13" s="2">
        <v>36</v>
      </c>
      <c r="U13" s="2">
        <v>57</v>
      </c>
      <c r="V13" s="2">
        <v>79.333299999999994</v>
      </c>
      <c r="W13" s="2">
        <f t="shared" si="3"/>
        <v>53.441545636330538</v>
      </c>
      <c r="X13" s="2">
        <v>10</v>
      </c>
      <c r="Y13" s="2">
        <f t="shared" si="4"/>
        <v>45.299006611624499</v>
      </c>
      <c r="Z13" s="2">
        <v>68.5</v>
      </c>
      <c r="AA13" s="2">
        <f t="shared" si="5"/>
        <v>49.658836071740545</v>
      </c>
      <c r="AB13" s="2">
        <f t="shared" si="6"/>
        <v>39.49682012516957</v>
      </c>
      <c r="AC13" s="2">
        <v>201.9777</v>
      </c>
      <c r="AD13" s="2">
        <v>28</v>
      </c>
      <c r="AE13" s="2">
        <v>0</v>
      </c>
      <c r="AF13" s="2">
        <v>9</v>
      </c>
      <c r="AG13" s="2">
        <v>12</v>
      </c>
      <c r="AH13" s="2">
        <v>24</v>
      </c>
      <c r="AI13" t="s">
        <v>40</v>
      </c>
    </row>
    <row r="14" spans="1:35" x14ac:dyDescent="0.3">
      <c r="A14" s="2" t="s">
        <v>35</v>
      </c>
      <c r="B14" s="2" t="s">
        <v>83</v>
      </c>
      <c r="C14" s="2" t="s">
        <v>84</v>
      </c>
      <c r="D14" s="2" t="s">
        <v>43</v>
      </c>
      <c r="E14" s="2" t="s">
        <v>85</v>
      </c>
      <c r="F14" s="2">
        <v>2005</v>
      </c>
      <c r="G14" s="2">
        <v>15</v>
      </c>
      <c r="H14" s="2">
        <v>0</v>
      </c>
      <c r="I14" s="2">
        <v>14</v>
      </c>
      <c r="J14" s="2">
        <v>13</v>
      </c>
      <c r="K14" s="2">
        <v>14</v>
      </c>
      <c r="L14" s="2">
        <f t="shared" ca="1" si="0"/>
        <v>21</v>
      </c>
      <c r="M14" s="2">
        <v>3</v>
      </c>
      <c r="N14" s="2">
        <v>2</v>
      </c>
      <c r="O14" s="2">
        <v>29</v>
      </c>
      <c r="P14" s="2">
        <f t="shared" ca="1" si="1"/>
        <v>0.14285714285714285</v>
      </c>
      <c r="Q14" s="2">
        <f t="shared" ca="1" si="2"/>
        <v>67.61904761904762</v>
      </c>
      <c r="R14" s="2">
        <v>1.4894000000000001</v>
      </c>
      <c r="S14" s="2">
        <f t="shared" si="7"/>
        <v>68.156066666666675</v>
      </c>
      <c r="T14" s="2">
        <v>3</v>
      </c>
      <c r="U14" s="2">
        <v>5</v>
      </c>
      <c r="V14" s="2">
        <v>8.6667000000000005</v>
      </c>
      <c r="W14" s="2">
        <f t="shared" si="3"/>
        <v>5.0990293193901133</v>
      </c>
      <c r="X14" s="2">
        <v>2</v>
      </c>
      <c r="Y14" s="2">
        <f t="shared" si="4"/>
        <v>3.872983346207417</v>
      </c>
      <c r="Z14" s="2">
        <v>11</v>
      </c>
      <c r="AA14" s="2">
        <f t="shared" si="5"/>
        <v>5.7445626465380286</v>
      </c>
      <c r="AB14" s="2">
        <f t="shared" si="6"/>
        <v>4.1231177523810789</v>
      </c>
      <c r="AC14" s="2">
        <v>6.5574000000000003</v>
      </c>
      <c r="AD14" s="2">
        <v>3</v>
      </c>
      <c r="AE14" s="2">
        <v>1</v>
      </c>
      <c r="AF14" s="2">
        <v>0</v>
      </c>
      <c r="AG14" s="2">
        <v>0</v>
      </c>
      <c r="AH14" s="2">
        <v>3</v>
      </c>
      <c r="AI14" t="s">
        <v>45</v>
      </c>
    </row>
    <row r="15" spans="1:35" x14ac:dyDescent="0.3">
      <c r="A15" s="2" t="s">
        <v>35</v>
      </c>
      <c r="B15" s="2" t="s">
        <v>86</v>
      </c>
      <c r="C15" s="2" t="s">
        <v>87</v>
      </c>
      <c r="D15" s="2" t="s">
        <v>55</v>
      </c>
      <c r="E15" s="2" t="s">
        <v>88</v>
      </c>
      <c r="F15" s="2">
        <v>2012</v>
      </c>
      <c r="G15" s="2">
        <v>16</v>
      </c>
      <c r="H15" s="2">
        <v>0</v>
      </c>
      <c r="I15" s="2">
        <v>14</v>
      </c>
      <c r="J15" s="2">
        <v>13</v>
      </c>
      <c r="K15" s="2">
        <v>14</v>
      </c>
      <c r="L15" s="2">
        <f t="shared" ca="1" si="0"/>
        <v>14</v>
      </c>
      <c r="M15" s="2">
        <v>2</v>
      </c>
      <c r="N15" s="2">
        <v>0</v>
      </c>
      <c r="O15" s="2">
        <v>12</v>
      </c>
      <c r="P15" s="2">
        <f t="shared" ca="1" si="1"/>
        <v>0.14285714285714285</v>
      </c>
      <c r="Q15" s="2">
        <f t="shared" ca="1" si="2"/>
        <v>57.142857142857139</v>
      </c>
      <c r="R15" s="2">
        <v>0.75080000000000002</v>
      </c>
      <c r="S15" s="2">
        <f t="shared" si="7"/>
        <v>57.000799999999998</v>
      </c>
      <c r="T15" s="2">
        <v>2</v>
      </c>
      <c r="U15" s="2">
        <v>2</v>
      </c>
      <c r="V15" s="2">
        <v>3</v>
      </c>
      <c r="W15" s="2">
        <f t="shared" si="3"/>
        <v>2.4494897427831779</v>
      </c>
      <c r="X15" s="2">
        <v>1</v>
      </c>
      <c r="Y15" s="2">
        <f t="shared" si="4"/>
        <v>2</v>
      </c>
      <c r="Z15" s="2">
        <v>3</v>
      </c>
      <c r="AA15" s="2">
        <f t="shared" si="5"/>
        <v>2.4494897427831779</v>
      </c>
      <c r="AB15" s="2">
        <f t="shared" si="6"/>
        <v>1.4142135623730951</v>
      </c>
      <c r="AC15" s="2">
        <v>2.8283999999999998</v>
      </c>
      <c r="AD15" s="2">
        <v>2</v>
      </c>
      <c r="AE15" s="2">
        <v>0</v>
      </c>
      <c r="AF15" s="2">
        <v>1</v>
      </c>
      <c r="AG15" s="2">
        <v>0</v>
      </c>
      <c r="AH15" s="2">
        <v>2</v>
      </c>
      <c r="AI15" t="s">
        <v>45</v>
      </c>
    </row>
    <row r="16" spans="1:35" x14ac:dyDescent="0.3">
      <c r="A16" s="2" t="s">
        <v>35</v>
      </c>
      <c r="B16" s="2" t="s">
        <v>89</v>
      </c>
      <c r="C16" s="2" t="s">
        <v>90</v>
      </c>
      <c r="D16" s="2" t="s">
        <v>91</v>
      </c>
      <c r="E16" s="2" t="s">
        <v>92</v>
      </c>
      <c r="F16" s="2">
        <v>1996</v>
      </c>
      <c r="G16" s="2">
        <v>86</v>
      </c>
      <c r="H16" s="2">
        <v>50</v>
      </c>
      <c r="I16" s="2">
        <v>21</v>
      </c>
      <c r="J16" s="2">
        <v>16</v>
      </c>
      <c r="K16" s="2">
        <v>25</v>
      </c>
      <c r="L16" s="2">
        <f t="shared" ca="1" si="0"/>
        <v>30</v>
      </c>
      <c r="M16" s="2">
        <v>12</v>
      </c>
      <c r="N16" s="2">
        <v>15</v>
      </c>
      <c r="O16" s="2">
        <v>526</v>
      </c>
      <c r="P16" s="2">
        <f t="shared" ca="1" si="1"/>
        <v>0.4</v>
      </c>
      <c r="Q16" s="2">
        <f t="shared" ca="1" si="2"/>
        <v>23.13953488372093</v>
      </c>
      <c r="R16" s="2">
        <v>7.0972999999999997</v>
      </c>
      <c r="S16" s="2">
        <f t="shared" si="7"/>
        <v>29.771718604651166</v>
      </c>
      <c r="T16" s="2">
        <v>12</v>
      </c>
      <c r="U16" s="2">
        <v>21</v>
      </c>
      <c r="V16" s="2">
        <v>32</v>
      </c>
      <c r="W16" s="2">
        <f t="shared" si="3"/>
        <v>19.595917942265423</v>
      </c>
      <c r="X16" s="2">
        <v>5</v>
      </c>
      <c r="Y16" s="2">
        <f t="shared" si="4"/>
        <v>15.874507866387544</v>
      </c>
      <c r="Z16" s="2">
        <v>22</v>
      </c>
      <c r="AA16" s="2">
        <f t="shared" si="5"/>
        <v>16.248076809271922</v>
      </c>
      <c r="AB16" s="2">
        <f t="shared" si="6"/>
        <v>15.491933384829668</v>
      </c>
      <c r="AC16" s="2">
        <v>40.6571</v>
      </c>
      <c r="AD16" s="2">
        <v>7</v>
      </c>
      <c r="AE16" s="2">
        <v>2</v>
      </c>
      <c r="AF16" s="2">
        <v>4</v>
      </c>
      <c r="AG16" s="2">
        <v>10</v>
      </c>
      <c r="AH16" s="2">
        <v>4</v>
      </c>
      <c r="AI16" t="s">
        <v>93</v>
      </c>
    </row>
    <row r="17" spans="1:35" x14ac:dyDescent="0.3">
      <c r="A17" s="2" t="s">
        <v>35</v>
      </c>
      <c r="B17" s="2" t="s">
        <v>94</v>
      </c>
      <c r="C17" s="2" t="s">
        <v>95</v>
      </c>
      <c r="D17" s="2" t="s">
        <v>91</v>
      </c>
      <c r="E17" s="2" t="s">
        <v>96</v>
      </c>
      <c r="F17" s="2">
        <v>1983</v>
      </c>
      <c r="G17" s="2">
        <v>34</v>
      </c>
      <c r="H17" s="2">
        <v>8</v>
      </c>
      <c r="I17" s="2">
        <v>20</v>
      </c>
      <c r="J17" s="2">
        <v>13</v>
      </c>
      <c r="K17" s="2">
        <v>20</v>
      </c>
      <c r="L17" s="2">
        <f t="shared" ca="1" si="0"/>
        <v>43</v>
      </c>
      <c r="M17" s="2">
        <v>8</v>
      </c>
      <c r="N17" s="2">
        <v>6</v>
      </c>
      <c r="O17" s="2">
        <v>231</v>
      </c>
      <c r="P17" s="2">
        <f t="shared" ca="1" si="1"/>
        <v>0.18604651162790697</v>
      </c>
      <c r="Q17" s="2">
        <f t="shared" ca="1" si="2"/>
        <v>51.135430916552671</v>
      </c>
      <c r="R17" s="2">
        <v>4.9318</v>
      </c>
      <c r="S17" s="2">
        <f t="shared" si="7"/>
        <v>55.520035294117655</v>
      </c>
      <c r="T17" s="2">
        <v>8</v>
      </c>
      <c r="U17" s="2">
        <v>14</v>
      </c>
      <c r="V17" s="2">
        <v>22.75</v>
      </c>
      <c r="W17" s="2">
        <f t="shared" si="3"/>
        <v>13.490737563232042</v>
      </c>
      <c r="X17" s="2">
        <v>4</v>
      </c>
      <c r="Y17" s="2">
        <f t="shared" si="4"/>
        <v>10.583005244258363</v>
      </c>
      <c r="Z17" s="2">
        <v>16</v>
      </c>
      <c r="AA17" s="2">
        <f t="shared" si="5"/>
        <v>11.313708498984761</v>
      </c>
      <c r="AB17" s="2">
        <f t="shared" si="6"/>
        <v>10.862780491200215</v>
      </c>
      <c r="AC17" s="2">
        <v>23.388000000000002</v>
      </c>
      <c r="AD17" s="2">
        <v>6</v>
      </c>
      <c r="AE17" s="2">
        <v>4</v>
      </c>
      <c r="AF17" s="2">
        <v>0</v>
      </c>
      <c r="AG17" s="2">
        <v>5</v>
      </c>
      <c r="AH17" s="2">
        <v>4</v>
      </c>
      <c r="AI17" t="s">
        <v>93</v>
      </c>
    </row>
    <row r="18" spans="1:35" x14ac:dyDescent="0.3">
      <c r="A18" s="2" t="s">
        <v>35</v>
      </c>
      <c r="B18" s="2" t="s">
        <v>97</v>
      </c>
      <c r="C18" s="2" t="s">
        <v>98</v>
      </c>
      <c r="D18" s="2" t="s">
        <v>99</v>
      </c>
      <c r="E18" s="2" t="s">
        <v>100</v>
      </c>
      <c r="F18" s="2">
        <v>1976</v>
      </c>
      <c r="G18" s="2">
        <v>652</v>
      </c>
      <c r="H18" s="2">
        <v>332</v>
      </c>
      <c r="I18" s="2">
        <v>157</v>
      </c>
      <c r="J18" s="2">
        <v>108</v>
      </c>
      <c r="K18" s="2">
        <v>231</v>
      </c>
      <c r="L18" s="2">
        <f t="shared" ca="1" si="0"/>
        <v>50</v>
      </c>
      <c r="M18" s="2">
        <v>58</v>
      </c>
      <c r="N18" s="2">
        <v>306</v>
      </c>
      <c r="O18" s="2">
        <v>13716</v>
      </c>
      <c r="P18" s="2">
        <f t="shared" ca="1" si="1"/>
        <v>1.1599999999999999</v>
      </c>
      <c r="Q18" s="2">
        <f t="shared" ca="1" si="2"/>
        <v>21.69631901840491</v>
      </c>
      <c r="R18" s="2">
        <v>22.783200000000001</v>
      </c>
      <c r="S18" s="2">
        <f t="shared" si="7"/>
        <v>44.301604907975459</v>
      </c>
      <c r="T18" s="2">
        <v>58</v>
      </c>
      <c r="U18" s="2">
        <v>89</v>
      </c>
      <c r="V18" s="2">
        <v>109.5172</v>
      </c>
      <c r="W18" s="2">
        <f t="shared" si="3"/>
        <v>79.69942032411528</v>
      </c>
      <c r="X18" s="2">
        <v>12</v>
      </c>
      <c r="Y18" s="2">
        <f t="shared" si="4"/>
        <v>71.847059786744225</v>
      </c>
      <c r="Z18" s="2">
        <v>87</v>
      </c>
      <c r="AA18" s="2">
        <f t="shared" si="5"/>
        <v>71.035202540712163</v>
      </c>
      <c r="AB18" s="2">
        <f t="shared" si="6"/>
        <v>54.662579522009395</v>
      </c>
      <c r="AC18" s="2">
        <v>376.04520000000002</v>
      </c>
      <c r="AD18" s="2">
        <v>41</v>
      </c>
      <c r="AE18" s="2">
        <v>25</v>
      </c>
      <c r="AF18" s="2">
        <v>30</v>
      </c>
      <c r="AG18" s="2">
        <v>43</v>
      </c>
      <c r="AH18" s="2">
        <v>28</v>
      </c>
      <c r="AI18" t="s">
        <v>45</v>
      </c>
    </row>
    <row r="19" spans="1:35" x14ac:dyDescent="0.3">
      <c r="A19" s="2" t="s">
        <v>35</v>
      </c>
      <c r="B19" s="2" t="s">
        <v>101</v>
      </c>
      <c r="C19" s="2" t="s">
        <v>102</v>
      </c>
      <c r="D19" s="2" t="s">
        <v>74</v>
      </c>
      <c r="E19" s="2" t="s">
        <v>103</v>
      </c>
      <c r="F19" s="2">
        <v>2005</v>
      </c>
      <c r="G19" s="2">
        <v>75</v>
      </c>
      <c r="H19" s="2">
        <v>22</v>
      </c>
      <c r="I19" s="2">
        <v>21</v>
      </c>
      <c r="J19" s="2">
        <v>12</v>
      </c>
      <c r="K19" s="2">
        <v>29</v>
      </c>
      <c r="L19" s="2">
        <f t="shared" ca="1" si="0"/>
        <v>21</v>
      </c>
      <c r="M19" s="2">
        <v>20</v>
      </c>
      <c r="N19" s="2">
        <v>27</v>
      </c>
      <c r="O19" s="2">
        <v>1192</v>
      </c>
      <c r="P19" s="2">
        <f t="shared" ca="1" si="1"/>
        <v>0.95238095238095233</v>
      </c>
      <c r="Q19" s="2">
        <f t="shared" ca="1" si="2"/>
        <v>44.336507936507928</v>
      </c>
      <c r="R19" s="2">
        <v>9.83</v>
      </c>
      <c r="S19" s="2">
        <f t="shared" si="7"/>
        <v>52.896666666666661</v>
      </c>
      <c r="T19" s="2">
        <v>20</v>
      </c>
      <c r="U19" s="2">
        <v>33</v>
      </c>
      <c r="V19" s="2">
        <v>49.7</v>
      </c>
      <c r="W19" s="2">
        <f t="shared" si="3"/>
        <v>31.527765540868891</v>
      </c>
      <c r="X19" s="2">
        <v>7</v>
      </c>
      <c r="Y19" s="2">
        <f t="shared" si="4"/>
        <v>25.690465157330259</v>
      </c>
      <c r="Z19" s="2">
        <v>37.5</v>
      </c>
      <c r="AA19" s="2">
        <f t="shared" si="5"/>
        <v>27.386127875258307</v>
      </c>
      <c r="AB19" s="2">
        <f t="shared" si="6"/>
        <v>24.372115213907882</v>
      </c>
      <c r="AC19" s="2">
        <v>86.040700000000001</v>
      </c>
      <c r="AD19" s="2">
        <v>12</v>
      </c>
      <c r="AE19" s="2">
        <v>8</v>
      </c>
      <c r="AF19" s="2">
        <v>7</v>
      </c>
      <c r="AG19" s="2">
        <v>9</v>
      </c>
      <c r="AH19" s="2">
        <v>5</v>
      </c>
      <c r="AI19" t="s">
        <v>45</v>
      </c>
    </row>
    <row r="20" spans="1:35" x14ac:dyDescent="0.3">
      <c r="A20" s="2" t="s">
        <v>35</v>
      </c>
      <c r="B20" s="2" t="s">
        <v>104</v>
      </c>
      <c r="C20" s="2" t="s">
        <v>105</v>
      </c>
      <c r="D20" s="2" t="s">
        <v>74</v>
      </c>
      <c r="E20" s="2" t="s">
        <v>106</v>
      </c>
      <c r="F20" s="2">
        <v>1984</v>
      </c>
      <c r="G20" s="2">
        <v>53</v>
      </c>
      <c r="H20" s="2">
        <v>20</v>
      </c>
      <c r="I20" s="2">
        <v>4</v>
      </c>
      <c r="J20" s="2">
        <v>7</v>
      </c>
      <c r="K20" s="2">
        <v>9</v>
      </c>
      <c r="L20" s="2">
        <f t="shared" ca="1" si="0"/>
        <v>42</v>
      </c>
      <c r="M20" s="2">
        <v>18</v>
      </c>
      <c r="N20" s="2">
        <v>25</v>
      </c>
      <c r="O20" s="2">
        <v>1160</v>
      </c>
      <c r="P20" s="2">
        <f t="shared" ca="1" si="1"/>
        <v>0.42857142857142855</v>
      </c>
      <c r="Q20" s="2">
        <f t="shared" ca="1" si="2"/>
        <v>39.487870619946086</v>
      </c>
      <c r="R20" s="2">
        <v>8.8879000000000001</v>
      </c>
      <c r="S20" s="2">
        <f t="shared" si="7"/>
        <v>47.567145283018867</v>
      </c>
      <c r="T20" s="2">
        <v>18</v>
      </c>
      <c r="U20" s="2">
        <v>33</v>
      </c>
      <c r="V20" s="2">
        <v>55.222200000000001</v>
      </c>
      <c r="W20" s="2">
        <f t="shared" si="3"/>
        <v>31.527759197253456</v>
      </c>
      <c r="X20" s="2">
        <v>7</v>
      </c>
      <c r="Y20" s="2">
        <f t="shared" si="4"/>
        <v>24.372115213907882</v>
      </c>
      <c r="Z20" s="2">
        <v>34</v>
      </c>
      <c r="AA20" s="2">
        <f t="shared" si="5"/>
        <v>24.738633753705962</v>
      </c>
      <c r="AB20" s="2">
        <f t="shared" si="6"/>
        <v>25.884350484414323</v>
      </c>
      <c r="AC20" s="2">
        <v>76.504900000000006</v>
      </c>
      <c r="AD20" s="2">
        <v>10</v>
      </c>
      <c r="AE20" s="2">
        <v>2</v>
      </c>
      <c r="AF20" s="2">
        <v>7</v>
      </c>
      <c r="AG20" s="2">
        <v>12</v>
      </c>
      <c r="AH20" s="2">
        <v>5</v>
      </c>
      <c r="AI20" t="s">
        <v>45</v>
      </c>
    </row>
    <row r="21" spans="1:35" x14ac:dyDescent="0.3">
      <c r="A21" s="2" t="s">
        <v>35</v>
      </c>
      <c r="B21" s="2" t="s">
        <v>107</v>
      </c>
      <c r="C21" s="2" t="s">
        <v>108</v>
      </c>
      <c r="D21" s="2" t="s">
        <v>109</v>
      </c>
      <c r="E21" s="2" t="s">
        <v>110</v>
      </c>
      <c r="F21" s="2">
        <v>2008</v>
      </c>
      <c r="G21" s="2">
        <v>38</v>
      </c>
      <c r="H21" s="2">
        <v>4</v>
      </c>
      <c r="I21" s="2">
        <v>15</v>
      </c>
      <c r="J21" s="2">
        <v>7</v>
      </c>
      <c r="K21" s="2">
        <v>17</v>
      </c>
      <c r="L21" s="2">
        <f t="shared" ca="1" si="0"/>
        <v>18</v>
      </c>
      <c r="M21" s="2">
        <v>10</v>
      </c>
      <c r="N21" s="2">
        <v>10</v>
      </c>
      <c r="O21" s="2">
        <v>373</v>
      </c>
      <c r="P21" s="2">
        <f t="shared" ca="1" si="1"/>
        <v>0.55555555555555558</v>
      </c>
      <c r="Q21" s="2">
        <f t="shared" ca="1" si="2"/>
        <v>49.093567251461998</v>
      </c>
      <c r="R21" s="2">
        <v>4.6193999999999997</v>
      </c>
      <c r="S21" s="2">
        <f t="shared" si="7"/>
        <v>52.250978947368424</v>
      </c>
      <c r="T21" s="2">
        <v>10</v>
      </c>
      <c r="U21" s="2">
        <v>19</v>
      </c>
      <c r="V21" s="2">
        <v>32.200000000000003</v>
      </c>
      <c r="W21" s="2">
        <f t="shared" si="3"/>
        <v>17.944358444926362</v>
      </c>
      <c r="X21" s="2">
        <v>5</v>
      </c>
      <c r="Y21" s="2">
        <f t="shared" si="4"/>
        <v>13.784048752090222</v>
      </c>
      <c r="Z21" s="2">
        <v>26.5</v>
      </c>
      <c r="AA21" s="2">
        <f t="shared" si="5"/>
        <v>16.278820596099706</v>
      </c>
      <c r="AB21" s="2">
        <f t="shared" si="6"/>
        <v>14.89966442575134</v>
      </c>
      <c r="AC21" s="2">
        <v>35.2562</v>
      </c>
      <c r="AD21" s="2">
        <v>8</v>
      </c>
      <c r="AE21" s="2">
        <v>6</v>
      </c>
      <c r="AF21" s="2">
        <v>3</v>
      </c>
      <c r="AG21" s="2">
        <v>4</v>
      </c>
      <c r="AH21" s="2">
        <v>2</v>
      </c>
      <c r="AI21" t="s">
        <v>93</v>
      </c>
    </row>
    <row r="22" spans="1:35" x14ac:dyDescent="0.3">
      <c r="A22" s="2" t="s">
        <v>35</v>
      </c>
      <c r="B22" s="2" t="s">
        <v>111</v>
      </c>
      <c r="C22" s="2" t="s">
        <v>112</v>
      </c>
      <c r="D22" s="2" t="s">
        <v>43</v>
      </c>
      <c r="E22" s="2" t="s">
        <v>113</v>
      </c>
      <c r="F22" s="2">
        <v>2006</v>
      </c>
      <c r="G22" s="2">
        <v>32</v>
      </c>
      <c r="H22" s="2">
        <v>6</v>
      </c>
      <c r="I22" s="2">
        <v>12</v>
      </c>
      <c r="J22" s="2">
        <v>9</v>
      </c>
      <c r="K22" s="2">
        <v>13</v>
      </c>
      <c r="L22" s="2">
        <f t="shared" ca="1" si="0"/>
        <v>20</v>
      </c>
      <c r="M22" s="2">
        <v>13</v>
      </c>
      <c r="N22" s="2">
        <v>13</v>
      </c>
      <c r="O22" s="2">
        <v>1248</v>
      </c>
      <c r="P22" s="2">
        <f t="shared" ca="1" si="1"/>
        <v>0.65</v>
      </c>
      <c r="Q22" s="2">
        <f t="shared" ca="1" si="2"/>
        <v>61.093749999999993</v>
      </c>
      <c r="R22" s="2">
        <v>9.6844000000000001</v>
      </c>
      <c r="S22" s="2">
        <f t="shared" si="7"/>
        <v>68.746899999999997</v>
      </c>
      <c r="T22" s="2">
        <v>13</v>
      </c>
      <c r="U22" s="2">
        <v>32</v>
      </c>
      <c r="V22" s="2">
        <v>93.076899999999995</v>
      </c>
      <c r="W22" s="2">
        <f t="shared" si="3"/>
        <v>34.785049949655097</v>
      </c>
      <c r="X22" s="2">
        <v>6</v>
      </c>
      <c r="Y22" s="2">
        <f t="shared" si="4"/>
        <v>20.396078054371138</v>
      </c>
      <c r="Z22" s="2">
        <v>38</v>
      </c>
      <c r="AA22" s="2">
        <f t="shared" si="5"/>
        <v>22.22611077089287</v>
      </c>
      <c r="AB22" s="2">
        <f t="shared" si="6"/>
        <v>32.264526960735061</v>
      </c>
      <c r="AC22" s="2">
        <v>66.460499999999996</v>
      </c>
      <c r="AD22" s="2">
        <v>9</v>
      </c>
      <c r="AE22" s="2">
        <v>2</v>
      </c>
      <c r="AF22" s="2">
        <v>4</v>
      </c>
      <c r="AG22" s="2">
        <v>6</v>
      </c>
      <c r="AH22" s="2">
        <v>4</v>
      </c>
      <c r="AI22" t="s">
        <v>45</v>
      </c>
    </row>
    <row r="23" spans="1:35" x14ac:dyDescent="0.3">
      <c r="A23" s="2" t="s">
        <v>35</v>
      </c>
      <c r="B23" s="2" t="s">
        <v>114</v>
      </c>
      <c r="C23" s="2" t="s">
        <v>115</v>
      </c>
      <c r="D23" s="2" t="s">
        <v>43</v>
      </c>
      <c r="E23" s="2" t="s">
        <v>116</v>
      </c>
      <c r="F23" s="2">
        <v>1993</v>
      </c>
      <c r="G23" s="2">
        <v>48</v>
      </c>
      <c r="H23" s="2">
        <v>3</v>
      </c>
      <c r="I23" s="2">
        <v>32</v>
      </c>
      <c r="J23" s="2">
        <v>25</v>
      </c>
      <c r="K23" s="2">
        <v>32</v>
      </c>
      <c r="L23" s="2">
        <f t="shared" ca="1" si="0"/>
        <v>33</v>
      </c>
      <c r="M23" s="2">
        <v>9</v>
      </c>
      <c r="N23" s="2">
        <v>9</v>
      </c>
      <c r="O23" s="2">
        <v>4961</v>
      </c>
      <c r="P23" s="2">
        <f t="shared" ca="1" si="1"/>
        <v>0.27272727272727271</v>
      </c>
      <c r="Q23" s="2">
        <f t="shared" ca="1" si="2"/>
        <v>52.026515151515156</v>
      </c>
      <c r="R23" s="2">
        <v>21.015699999999999</v>
      </c>
      <c r="S23" s="2">
        <f t="shared" si="7"/>
        <v>72.474033333333338</v>
      </c>
      <c r="T23" s="2">
        <v>9</v>
      </c>
      <c r="U23" s="2">
        <v>48</v>
      </c>
      <c r="V23" s="2">
        <v>546.44439999999997</v>
      </c>
      <c r="W23" s="2">
        <f t="shared" si="3"/>
        <v>70.128450717237442</v>
      </c>
      <c r="X23" s="2">
        <v>3</v>
      </c>
      <c r="Y23" s="2">
        <f t="shared" si="4"/>
        <v>20.784609690826528</v>
      </c>
      <c r="Z23" s="2">
        <v>14</v>
      </c>
      <c r="AA23" s="2">
        <f t="shared" si="5"/>
        <v>11.224972160321824</v>
      </c>
      <c r="AB23" s="2">
        <f t="shared" si="6"/>
        <v>69.548541321871014</v>
      </c>
      <c r="AC23" s="2">
        <v>80</v>
      </c>
      <c r="AD23" s="2">
        <v>7</v>
      </c>
      <c r="AE23" s="2">
        <v>3</v>
      </c>
      <c r="AF23" s="2">
        <v>4</v>
      </c>
      <c r="AG23" s="2">
        <v>3</v>
      </c>
      <c r="AH23" s="2">
        <v>4</v>
      </c>
      <c r="AI23" t="s">
        <v>45</v>
      </c>
    </row>
    <row r="24" spans="1:35" x14ac:dyDescent="0.3">
      <c r="A24" s="2" t="s">
        <v>35</v>
      </c>
      <c r="B24" s="2" t="s">
        <v>117</v>
      </c>
      <c r="C24" s="2" t="s">
        <v>118</v>
      </c>
      <c r="D24" s="2" t="s">
        <v>51</v>
      </c>
      <c r="E24" s="2" t="s">
        <v>119</v>
      </c>
      <c r="F24" s="2">
        <v>1986</v>
      </c>
      <c r="G24" s="2">
        <v>309</v>
      </c>
      <c r="H24" s="2">
        <v>138</v>
      </c>
      <c r="I24" s="2">
        <v>58</v>
      </c>
      <c r="J24" s="2">
        <v>49</v>
      </c>
      <c r="K24" s="2">
        <v>95</v>
      </c>
      <c r="L24" s="2">
        <f t="shared" ca="1" si="0"/>
        <v>40</v>
      </c>
      <c r="M24" s="2">
        <v>29</v>
      </c>
      <c r="N24" s="2">
        <v>62</v>
      </c>
      <c r="O24" s="2">
        <v>3899</v>
      </c>
      <c r="P24" s="2">
        <f t="shared" ca="1" si="1"/>
        <v>0.72499999999999998</v>
      </c>
      <c r="Q24" s="2">
        <f t="shared" ca="1" si="2"/>
        <v>20.525889967637539</v>
      </c>
      <c r="R24" s="2">
        <v>13.711</v>
      </c>
      <c r="S24" s="2">
        <f t="shared" si="7"/>
        <v>34.002262135922329</v>
      </c>
      <c r="T24" s="2">
        <v>29</v>
      </c>
      <c r="U24" s="2">
        <v>58</v>
      </c>
      <c r="V24" s="2">
        <v>99.930999999999997</v>
      </c>
      <c r="W24" s="2">
        <f t="shared" si="3"/>
        <v>53.833066046808071</v>
      </c>
      <c r="X24" s="2">
        <v>9</v>
      </c>
      <c r="Y24" s="2">
        <f t="shared" si="4"/>
        <v>41.012193308819754</v>
      </c>
      <c r="Z24" s="2">
        <v>54</v>
      </c>
      <c r="AA24" s="2">
        <f t="shared" si="5"/>
        <v>39.572717874818757</v>
      </c>
      <c r="AB24" s="2">
        <f t="shared" si="6"/>
        <v>45.354150857446328</v>
      </c>
      <c r="AC24" s="2">
        <v>149.88</v>
      </c>
      <c r="AD24" s="2">
        <v>17</v>
      </c>
      <c r="AE24" s="2">
        <v>8</v>
      </c>
      <c r="AF24" s="2">
        <v>13</v>
      </c>
      <c r="AG24" s="2">
        <v>24</v>
      </c>
      <c r="AH24" s="2">
        <v>9</v>
      </c>
      <c r="AI24" t="s">
        <v>40</v>
      </c>
    </row>
    <row r="25" spans="1:35" x14ac:dyDescent="0.3">
      <c r="A25" s="2" t="s">
        <v>35</v>
      </c>
      <c r="B25" s="2" t="s">
        <v>120</v>
      </c>
      <c r="C25" s="2" t="s">
        <v>121</v>
      </c>
      <c r="D25" s="2" t="s">
        <v>109</v>
      </c>
      <c r="E25" s="2" t="s">
        <v>122</v>
      </c>
      <c r="F25" s="2">
        <v>1999</v>
      </c>
      <c r="G25" s="2">
        <v>134</v>
      </c>
      <c r="H25" s="2">
        <v>61</v>
      </c>
      <c r="I25" s="2">
        <v>21</v>
      </c>
      <c r="J25" s="2">
        <v>32</v>
      </c>
      <c r="K25" s="2">
        <v>46</v>
      </c>
      <c r="L25" s="2">
        <f t="shared" ca="1" si="0"/>
        <v>27</v>
      </c>
      <c r="M25" s="2">
        <v>32</v>
      </c>
      <c r="N25" s="2">
        <v>74</v>
      </c>
      <c r="O25" s="2">
        <v>4867</v>
      </c>
      <c r="P25" s="2">
        <f t="shared" ca="1" si="1"/>
        <v>1.1851851851851851</v>
      </c>
      <c r="Q25" s="2">
        <f t="shared" ca="1" si="2"/>
        <v>37.377003869541184</v>
      </c>
      <c r="R25" s="2">
        <v>14.322699999999999</v>
      </c>
      <c r="S25" s="2">
        <f t="shared" si="7"/>
        <v>50.815237313432831</v>
      </c>
      <c r="T25" s="2">
        <v>32</v>
      </c>
      <c r="U25" s="2">
        <v>68</v>
      </c>
      <c r="V25" s="2">
        <v>123.0312</v>
      </c>
      <c r="W25" s="2">
        <f t="shared" si="3"/>
        <v>62.745505018287965</v>
      </c>
      <c r="X25" s="2">
        <v>10</v>
      </c>
      <c r="Y25" s="2">
        <f t="shared" si="4"/>
        <v>46.647615158762406</v>
      </c>
      <c r="Z25" s="2">
        <v>55</v>
      </c>
      <c r="AA25" s="2">
        <f t="shared" si="5"/>
        <v>41.952353926806062</v>
      </c>
      <c r="AB25" s="2">
        <f t="shared" si="6"/>
        <v>53.972200251611014</v>
      </c>
      <c r="AC25" s="2">
        <v>177.6035</v>
      </c>
      <c r="AD25" s="2">
        <v>22</v>
      </c>
      <c r="AE25" s="2">
        <v>11</v>
      </c>
      <c r="AF25" s="2">
        <v>9</v>
      </c>
      <c r="AG25" s="2">
        <v>24</v>
      </c>
      <c r="AH25" s="2">
        <v>13</v>
      </c>
      <c r="AI25" t="s">
        <v>93</v>
      </c>
    </row>
    <row r="26" spans="1:35" x14ac:dyDescent="0.3">
      <c r="A26" s="2" t="s">
        <v>35</v>
      </c>
      <c r="B26" s="2" t="s">
        <v>123</v>
      </c>
      <c r="C26" s="2" t="s">
        <v>124</v>
      </c>
      <c r="D26" s="2" t="s">
        <v>38</v>
      </c>
      <c r="E26" s="2" t="s">
        <v>125</v>
      </c>
      <c r="F26" s="2">
        <v>2004</v>
      </c>
      <c r="G26" s="2">
        <v>64</v>
      </c>
      <c r="H26" s="2">
        <v>36</v>
      </c>
      <c r="I26" s="2">
        <v>3</v>
      </c>
      <c r="J26" s="2">
        <v>22</v>
      </c>
      <c r="K26" s="2">
        <v>25</v>
      </c>
      <c r="L26" s="2">
        <f t="shared" ca="1" si="0"/>
        <v>22</v>
      </c>
      <c r="M26" s="2">
        <v>26</v>
      </c>
      <c r="N26" s="2">
        <v>36</v>
      </c>
      <c r="O26" s="2">
        <v>3789</v>
      </c>
      <c r="P26" s="2">
        <f t="shared" ca="1" si="1"/>
        <v>1.1818181818181819</v>
      </c>
      <c r="Q26" s="2">
        <f t="shared" ca="1" si="2"/>
        <v>56.377840909090907</v>
      </c>
      <c r="R26" s="2">
        <v>15.4771</v>
      </c>
      <c r="S26" s="2">
        <f t="shared" si="7"/>
        <v>70.008350000000007</v>
      </c>
      <c r="T26" s="2">
        <v>26</v>
      </c>
      <c r="U26" s="2">
        <v>61</v>
      </c>
      <c r="V26" s="2">
        <v>136.5</v>
      </c>
      <c r="W26" s="2">
        <f t="shared" si="3"/>
        <v>59.573484034425917</v>
      </c>
      <c r="X26" s="2">
        <v>9</v>
      </c>
      <c r="Y26" s="2">
        <f t="shared" si="4"/>
        <v>39.824615503479755</v>
      </c>
      <c r="Z26" s="2">
        <v>59.5</v>
      </c>
      <c r="AA26" s="2">
        <f t="shared" si="5"/>
        <v>39.331920878594275</v>
      </c>
      <c r="AB26" s="2">
        <f t="shared" si="6"/>
        <v>53.600373133029585</v>
      </c>
      <c r="AC26" s="2">
        <v>140.17490000000001</v>
      </c>
      <c r="AD26" s="2">
        <v>15</v>
      </c>
      <c r="AE26" s="2">
        <v>2</v>
      </c>
      <c r="AF26" s="2">
        <v>0</v>
      </c>
      <c r="AG26" s="2">
        <v>18</v>
      </c>
      <c r="AH26" s="2">
        <v>13</v>
      </c>
      <c r="AI26" t="s">
        <v>40</v>
      </c>
    </row>
    <row r="27" spans="1:35" x14ac:dyDescent="0.3">
      <c r="A27" s="2" t="s">
        <v>35</v>
      </c>
      <c r="B27" s="2" t="s">
        <v>126</v>
      </c>
      <c r="C27" s="2" t="s">
        <v>127</v>
      </c>
      <c r="D27" s="2" t="s">
        <v>128</v>
      </c>
      <c r="E27" s="2" t="s">
        <v>129</v>
      </c>
      <c r="F27" s="2">
        <v>1970</v>
      </c>
      <c r="G27" s="2">
        <v>817</v>
      </c>
      <c r="H27" s="2">
        <v>262</v>
      </c>
      <c r="I27" s="2">
        <v>178</v>
      </c>
      <c r="J27" s="2">
        <v>99</v>
      </c>
      <c r="K27" s="2">
        <v>230</v>
      </c>
      <c r="L27" s="2">
        <f t="shared" ca="1" si="0"/>
        <v>56</v>
      </c>
      <c r="M27" s="2">
        <v>73</v>
      </c>
      <c r="N27" s="2">
        <v>280</v>
      </c>
      <c r="O27" s="2">
        <v>20385</v>
      </c>
      <c r="P27" s="2">
        <f t="shared" ca="1" si="1"/>
        <v>1.3035714285714286</v>
      </c>
      <c r="Q27" s="2">
        <f t="shared" ca="1" si="2"/>
        <v>19.963717433117676</v>
      </c>
      <c r="R27" s="2">
        <v>45.007899999999999</v>
      </c>
      <c r="S27" s="2">
        <f t="shared" si="7"/>
        <v>64.81206156670747</v>
      </c>
      <c r="T27" s="2">
        <v>73</v>
      </c>
      <c r="U27" s="2">
        <v>125</v>
      </c>
      <c r="V27" s="2">
        <v>176.5342</v>
      </c>
      <c r="W27" s="2">
        <f t="shared" si="3"/>
        <v>113.52090820637403</v>
      </c>
      <c r="X27" s="2">
        <v>15</v>
      </c>
      <c r="Y27" s="2">
        <f t="shared" si="4"/>
        <v>95.524865872714003</v>
      </c>
      <c r="Z27" s="2">
        <v>119</v>
      </c>
      <c r="AA27" s="2">
        <f t="shared" si="5"/>
        <v>93.204077164038267</v>
      </c>
      <c r="AB27" s="2">
        <f t="shared" si="6"/>
        <v>86.936739069279568</v>
      </c>
      <c r="AC27" s="2">
        <v>561.38400000000001</v>
      </c>
      <c r="AD27" s="2">
        <v>50</v>
      </c>
      <c r="AE27" s="2">
        <v>17</v>
      </c>
      <c r="AF27" s="2">
        <v>20</v>
      </c>
      <c r="AG27" s="2">
        <v>56</v>
      </c>
      <c r="AH27" s="2">
        <v>35</v>
      </c>
      <c r="AI27" t="s">
        <v>45</v>
      </c>
    </row>
    <row r="28" spans="1:35" x14ac:dyDescent="0.3">
      <c r="A28" s="2" t="s">
        <v>35</v>
      </c>
      <c r="B28" s="2" t="s">
        <v>130</v>
      </c>
      <c r="C28" s="2" t="s">
        <v>131</v>
      </c>
      <c r="D28" s="2" t="s">
        <v>91</v>
      </c>
      <c r="E28" s="2" t="s">
        <v>132</v>
      </c>
      <c r="F28" s="2">
        <v>1996</v>
      </c>
      <c r="G28" s="2">
        <v>3</v>
      </c>
      <c r="H28" s="2">
        <v>0</v>
      </c>
      <c r="I28" s="2">
        <v>1</v>
      </c>
      <c r="J28" s="2">
        <v>0</v>
      </c>
      <c r="K28" s="2">
        <v>1</v>
      </c>
      <c r="L28" s="2">
        <f t="shared" ca="1" si="0"/>
        <v>30</v>
      </c>
      <c r="M28" s="2">
        <v>1</v>
      </c>
      <c r="N28" s="2">
        <v>0</v>
      </c>
      <c r="O28" s="2">
        <v>2</v>
      </c>
      <c r="P28" s="2">
        <f t="shared" ca="1" si="1"/>
        <v>3.3333333333333333E-2</v>
      </c>
      <c r="Q28" s="2">
        <f t="shared" ca="1" si="2"/>
        <v>51.111111111111121</v>
      </c>
      <c r="R28" s="2">
        <v>0.70709999999999995</v>
      </c>
      <c r="S28" s="2">
        <f t="shared" si="7"/>
        <v>50.707099999999997</v>
      </c>
      <c r="T28" s="2">
        <v>1</v>
      </c>
      <c r="U28" s="2">
        <v>1</v>
      </c>
      <c r="V28" s="2">
        <v>2</v>
      </c>
      <c r="W28" s="2">
        <f t="shared" si="3"/>
        <v>1.4142135623730951</v>
      </c>
      <c r="X28" s="2">
        <v>1</v>
      </c>
      <c r="Y28" s="2">
        <f t="shared" si="4"/>
        <v>1</v>
      </c>
      <c r="Z28" s="2">
        <v>2</v>
      </c>
      <c r="AA28" s="2">
        <f t="shared" si="5"/>
        <v>1.4142135623730951</v>
      </c>
      <c r="AB28" s="2">
        <f t="shared" si="6"/>
        <v>1</v>
      </c>
      <c r="AC28" s="2">
        <v>1.4141999999999999</v>
      </c>
      <c r="AD28" s="2">
        <v>0</v>
      </c>
      <c r="AE28" s="2">
        <v>0</v>
      </c>
      <c r="AF28" s="2">
        <v>0</v>
      </c>
      <c r="AG28" s="2">
        <v>1</v>
      </c>
      <c r="AH28" s="2">
        <v>0</v>
      </c>
      <c r="AI28" t="s">
        <v>93</v>
      </c>
    </row>
    <row r="29" spans="1:35" x14ac:dyDescent="0.3">
      <c r="A29" s="2" t="s">
        <v>35</v>
      </c>
      <c r="B29" s="2" t="s">
        <v>133</v>
      </c>
      <c r="C29" s="2" t="s">
        <v>134</v>
      </c>
      <c r="D29" s="2" t="s">
        <v>109</v>
      </c>
      <c r="E29" s="2" t="s">
        <v>135</v>
      </c>
      <c r="F29" s="2">
        <v>2010</v>
      </c>
      <c r="G29" s="2">
        <v>123</v>
      </c>
      <c r="H29" s="2">
        <v>18</v>
      </c>
      <c r="I29" s="2">
        <v>45</v>
      </c>
      <c r="J29" s="2">
        <v>30</v>
      </c>
      <c r="K29" s="2">
        <v>56</v>
      </c>
      <c r="L29" s="2">
        <f t="shared" ca="1" si="0"/>
        <v>16</v>
      </c>
      <c r="M29" s="2">
        <v>23</v>
      </c>
      <c r="N29" s="2">
        <v>50</v>
      </c>
      <c r="O29" s="2">
        <v>2184</v>
      </c>
      <c r="P29" s="2">
        <f t="shared" ca="1" si="1"/>
        <v>1.4375</v>
      </c>
      <c r="Q29" s="2">
        <f t="shared" ca="1" si="2"/>
        <v>41.168699186991873</v>
      </c>
      <c r="R29" s="2">
        <v>12.76</v>
      </c>
      <c r="S29" s="2">
        <f t="shared" si="7"/>
        <v>52.76</v>
      </c>
      <c r="T29" s="2">
        <v>24</v>
      </c>
      <c r="U29" s="2">
        <v>44</v>
      </c>
      <c r="V29" s="2">
        <v>67.25</v>
      </c>
      <c r="W29" s="2">
        <f t="shared" si="3"/>
        <v>40.174618853201331</v>
      </c>
      <c r="X29" s="2">
        <v>7</v>
      </c>
      <c r="Y29" s="2">
        <f t="shared" si="4"/>
        <v>32.496153618543843</v>
      </c>
      <c r="Z29" s="2">
        <v>39</v>
      </c>
      <c r="AA29" s="2">
        <f t="shared" si="5"/>
        <v>30.594117081556711</v>
      </c>
      <c r="AB29" s="2">
        <f t="shared" si="6"/>
        <v>32.218007387174026</v>
      </c>
      <c r="AC29" s="2">
        <v>108.62779999999999</v>
      </c>
      <c r="AD29" s="2">
        <v>16</v>
      </c>
      <c r="AE29" s="2">
        <v>11</v>
      </c>
      <c r="AF29" s="2">
        <v>9</v>
      </c>
      <c r="AG29" s="2">
        <v>15</v>
      </c>
      <c r="AH29" s="2">
        <v>10</v>
      </c>
      <c r="AI29" t="s">
        <v>93</v>
      </c>
    </row>
    <row r="30" spans="1:35" x14ac:dyDescent="0.3">
      <c r="A30" s="2" t="s">
        <v>35</v>
      </c>
      <c r="B30" s="2" t="s">
        <v>136</v>
      </c>
      <c r="C30" s="2" t="s">
        <v>137</v>
      </c>
      <c r="D30" s="2" t="s">
        <v>109</v>
      </c>
      <c r="E30" s="2" t="s">
        <v>138</v>
      </c>
      <c r="F30" s="2">
        <v>2012</v>
      </c>
      <c r="G30" s="2">
        <v>62</v>
      </c>
      <c r="H30" s="2">
        <v>24</v>
      </c>
      <c r="I30" s="2">
        <v>27</v>
      </c>
      <c r="J30" s="2">
        <v>15</v>
      </c>
      <c r="K30" s="2">
        <v>30</v>
      </c>
      <c r="L30" s="2">
        <f t="shared" ca="1" si="0"/>
        <v>14</v>
      </c>
      <c r="M30" s="2">
        <v>12</v>
      </c>
      <c r="N30" s="2">
        <v>16</v>
      </c>
      <c r="O30" s="2">
        <v>425</v>
      </c>
      <c r="P30" s="2">
        <f t="shared" ca="1" si="1"/>
        <v>0.8571428571428571</v>
      </c>
      <c r="Q30" s="2">
        <f t="shared" ca="1" si="2"/>
        <v>41.059907834101381</v>
      </c>
      <c r="R30" s="2">
        <v>7.0442</v>
      </c>
      <c r="S30" s="2">
        <f t="shared" si="7"/>
        <v>46.721619354838708</v>
      </c>
      <c r="T30" s="2">
        <v>12</v>
      </c>
      <c r="U30" s="2">
        <v>19</v>
      </c>
      <c r="V30" s="2">
        <v>26.583300000000001</v>
      </c>
      <c r="W30" s="2">
        <f t="shared" si="3"/>
        <v>17.860559901638023</v>
      </c>
      <c r="X30" s="2">
        <v>4</v>
      </c>
      <c r="Y30" s="2">
        <f t="shared" si="4"/>
        <v>15.0996688705415</v>
      </c>
      <c r="Z30" s="2">
        <v>17</v>
      </c>
      <c r="AA30" s="2">
        <f t="shared" si="5"/>
        <v>14.282856857085701</v>
      </c>
      <c r="AB30" s="2">
        <f t="shared" si="6"/>
        <v>13.228741436735392</v>
      </c>
      <c r="AC30" s="2">
        <v>37.51</v>
      </c>
      <c r="AD30" s="2">
        <v>8</v>
      </c>
      <c r="AE30" s="2">
        <v>3</v>
      </c>
      <c r="AF30" s="2">
        <v>0</v>
      </c>
      <c r="AG30" s="2">
        <v>9</v>
      </c>
      <c r="AH30" s="2">
        <v>7</v>
      </c>
      <c r="AI30" t="s">
        <v>93</v>
      </c>
    </row>
    <row r="31" spans="1:35" x14ac:dyDescent="0.3">
      <c r="A31" s="2" t="s">
        <v>35</v>
      </c>
      <c r="B31" s="2" t="s">
        <v>139</v>
      </c>
      <c r="C31" s="2" t="s">
        <v>140</v>
      </c>
      <c r="D31" s="2" t="s">
        <v>43</v>
      </c>
      <c r="E31" s="2" t="s">
        <v>141</v>
      </c>
      <c r="F31" s="2">
        <v>2010</v>
      </c>
      <c r="G31" s="2">
        <v>12</v>
      </c>
      <c r="H31" s="2">
        <v>0</v>
      </c>
      <c r="I31" s="2">
        <v>10</v>
      </c>
      <c r="J31" s="2">
        <v>10</v>
      </c>
      <c r="K31" s="2">
        <v>10</v>
      </c>
      <c r="L31" s="2">
        <f t="shared" ca="1" si="0"/>
        <v>16</v>
      </c>
      <c r="M31" s="2">
        <v>1</v>
      </c>
      <c r="N31" s="2">
        <v>0</v>
      </c>
      <c r="O31" s="2">
        <v>1</v>
      </c>
      <c r="P31" s="2">
        <f t="shared" ca="1" si="1"/>
        <v>6.25E-2</v>
      </c>
      <c r="Q31" s="2">
        <f t="shared" ca="1" si="2"/>
        <v>50.520833333333336</v>
      </c>
      <c r="R31" s="2">
        <v>0.30149999999999999</v>
      </c>
      <c r="S31" s="2">
        <f t="shared" si="7"/>
        <v>50.301499999999997</v>
      </c>
      <c r="T31" s="2">
        <v>1</v>
      </c>
      <c r="U31" s="2">
        <v>1</v>
      </c>
      <c r="V31" s="2">
        <v>1</v>
      </c>
      <c r="W31" s="2">
        <f t="shared" si="3"/>
        <v>1</v>
      </c>
      <c r="X31" s="2">
        <v>1</v>
      </c>
      <c r="Y31" s="2">
        <f t="shared" si="4"/>
        <v>1</v>
      </c>
      <c r="Z31" s="2">
        <v>1</v>
      </c>
      <c r="AA31" s="2">
        <f t="shared" si="5"/>
        <v>1</v>
      </c>
      <c r="AB31" s="2">
        <f t="shared" si="6"/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t="s">
        <v>45</v>
      </c>
    </row>
    <row r="32" spans="1:35" x14ac:dyDescent="0.3">
      <c r="A32" s="2" t="s">
        <v>35</v>
      </c>
      <c r="B32" s="2" t="s">
        <v>142</v>
      </c>
      <c r="C32" s="2" t="s">
        <v>143</v>
      </c>
      <c r="D32" s="2" t="s">
        <v>91</v>
      </c>
      <c r="E32" s="2" t="s">
        <v>144</v>
      </c>
      <c r="F32" s="2">
        <v>2019</v>
      </c>
      <c r="G32" s="2">
        <v>16</v>
      </c>
      <c r="H32" s="2">
        <v>1</v>
      </c>
      <c r="I32" s="2">
        <v>10</v>
      </c>
      <c r="J32" s="2">
        <v>2</v>
      </c>
      <c r="K32" s="2">
        <v>11</v>
      </c>
      <c r="L32" s="2">
        <f t="shared" ca="1" si="0"/>
        <v>7</v>
      </c>
      <c r="M32" s="2">
        <v>7</v>
      </c>
      <c r="N32" s="2">
        <v>6</v>
      </c>
      <c r="O32" s="2">
        <v>131</v>
      </c>
      <c r="P32" s="2">
        <f t="shared" ca="1" si="1"/>
        <v>1</v>
      </c>
      <c r="Q32" s="2">
        <f t="shared" ca="1" si="2"/>
        <v>83.75</v>
      </c>
      <c r="R32" s="2">
        <v>5.0743999999999998</v>
      </c>
      <c r="S32" s="2">
        <f t="shared" si="7"/>
        <v>82.574399999999997</v>
      </c>
      <c r="T32" s="2">
        <v>7</v>
      </c>
      <c r="U32" s="2">
        <v>11</v>
      </c>
      <c r="V32" s="2">
        <v>15.857100000000001</v>
      </c>
      <c r="W32" s="2">
        <f t="shared" si="3"/>
        <v>10.535639515473182</v>
      </c>
      <c r="X32" s="2">
        <v>3</v>
      </c>
      <c r="Y32" s="2">
        <f t="shared" si="4"/>
        <v>8.7749643873921226</v>
      </c>
      <c r="Z32" s="2">
        <v>11</v>
      </c>
      <c r="AA32" s="2">
        <f t="shared" si="5"/>
        <v>8.7749643873921226</v>
      </c>
      <c r="AB32" s="2">
        <f t="shared" si="6"/>
        <v>7.8739888239697171</v>
      </c>
      <c r="AC32" s="2">
        <v>18.5472</v>
      </c>
      <c r="AD32" s="2">
        <v>6</v>
      </c>
      <c r="AE32" s="2">
        <v>6</v>
      </c>
      <c r="AF32" s="2">
        <v>2</v>
      </c>
      <c r="AG32" s="2">
        <v>1</v>
      </c>
      <c r="AH32" s="2">
        <v>1</v>
      </c>
      <c r="AI32" t="s">
        <v>93</v>
      </c>
    </row>
    <row r="33" spans="1:35" x14ac:dyDescent="0.3">
      <c r="A33" s="2" t="s">
        <v>35</v>
      </c>
      <c r="B33" s="2" t="s">
        <v>145</v>
      </c>
      <c r="C33" s="2" t="s">
        <v>146</v>
      </c>
      <c r="D33" s="2" t="s">
        <v>43</v>
      </c>
      <c r="E33" s="2" t="s">
        <v>147</v>
      </c>
      <c r="F33" s="2">
        <v>2014</v>
      </c>
      <c r="G33" s="2">
        <v>1</v>
      </c>
      <c r="H33" s="2">
        <v>0</v>
      </c>
      <c r="I33" s="2">
        <v>1</v>
      </c>
      <c r="J33" s="2">
        <v>1</v>
      </c>
      <c r="K33" s="2">
        <v>1</v>
      </c>
      <c r="L33" s="2">
        <f t="shared" ca="1" si="0"/>
        <v>12</v>
      </c>
      <c r="M33" s="2">
        <v>1</v>
      </c>
      <c r="N33" s="2">
        <v>0</v>
      </c>
      <c r="O33" s="2">
        <v>1</v>
      </c>
      <c r="P33" s="2">
        <f t="shared" ca="1" si="1"/>
        <v>8.3333333333333329E-2</v>
      </c>
      <c r="Q33" s="2">
        <f t="shared" ca="1" si="2"/>
        <v>158.33333333333331</v>
      </c>
      <c r="R33" s="2">
        <v>0.27739999999999998</v>
      </c>
      <c r="S33" s="2">
        <f t="shared" si="7"/>
        <v>150.2774</v>
      </c>
      <c r="T33" s="2">
        <v>1</v>
      </c>
      <c r="U33" s="2">
        <v>1</v>
      </c>
      <c r="V33" s="2">
        <v>1</v>
      </c>
      <c r="W33" s="2">
        <f t="shared" si="3"/>
        <v>1</v>
      </c>
      <c r="X33" s="2">
        <v>1</v>
      </c>
      <c r="Y33" s="2">
        <f t="shared" si="4"/>
        <v>1</v>
      </c>
      <c r="Z33" s="2">
        <v>1</v>
      </c>
      <c r="AA33" s="2">
        <f t="shared" si="5"/>
        <v>1</v>
      </c>
      <c r="AB33" s="2">
        <f t="shared" si="6"/>
        <v>0</v>
      </c>
      <c r="AC33" s="2">
        <v>1</v>
      </c>
      <c r="AD33" s="2">
        <v>1</v>
      </c>
      <c r="AE33" s="2">
        <v>0</v>
      </c>
      <c r="AF33" s="2">
        <v>0</v>
      </c>
      <c r="AG33" s="2">
        <v>0</v>
      </c>
      <c r="AH33" s="2">
        <v>1</v>
      </c>
      <c r="AI33" t="s">
        <v>45</v>
      </c>
    </row>
    <row r="34" spans="1:35" x14ac:dyDescent="0.3">
      <c r="A34" s="2" t="s">
        <v>35</v>
      </c>
      <c r="B34" s="2" t="s">
        <v>148</v>
      </c>
      <c r="C34" s="2" t="s">
        <v>149</v>
      </c>
      <c r="D34" s="2" t="s">
        <v>150</v>
      </c>
      <c r="E34" s="2" t="s">
        <v>151</v>
      </c>
      <c r="F34" s="2">
        <v>2003</v>
      </c>
      <c r="G34" s="2">
        <v>104</v>
      </c>
      <c r="H34" s="2">
        <v>44</v>
      </c>
      <c r="I34" s="2">
        <v>27</v>
      </c>
      <c r="J34" s="2">
        <v>2</v>
      </c>
      <c r="K34" s="2">
        <v>27</v>
      </c>
      <c r="L34" s="2">
        <f t="shared" ca="1" si="0"/>
        <v>23</v>
      </c>
      <c r="M34" s="2">
        <v>30</v>
      </c>
      <c r="N34" s="2">
        <v>47</v>
      </c>
      <c r="O34" s="2">
        <v>6658</v>
      </c>
      <c r="P34" s="2">
        <f t="shared" ca="1" si="1"/>
        <v>1.3043478260869565</v>
      </c>
      <c r="Q34" s="2">
        <f t="shared" ca="1" si="2"/>
        <v>38.850334448160531</v>
      </c>
      <c r="R34" s="2">
        <v>22.702500000000001</v>
      </c>
      <c r="S34" s="2">
        <f t="shared" si="7"/>
        <v>60.298653846153847</v>
      </c>
      <c r="T34" s="2">
        <v>30</v>
      </c>
      <c r="U34" s="2">
        <v>81</v>
      </c>
      <c r="V34" s="2">
        <v>209.26669999999999</v>
      </c>
      <c r="W34" s="2">
        <f t="shared" si="3"/>
        <v>79.233837468596704</v>
      </c>
      <c r="X34" s="2">
        <v>11</v>
      </c>
      <c r="Y34" s="2">
        <f t="shared" si="4"/>
        <v>49.295030175464952</v>
      </c>
      <c r="Z34" s="2">
        <v>116.5</v>
      </c>
      <c r="AA34" s="2">
        <f t="shared" si="5"/>
        <v>59.11852501542981</v>
      </c>
      <c r="AB34" s="2">
        <f t="shared" si="6"/>
        <v>73.334855287237048</v>
      </c>
      <c r="AC34" s="2">
        <v>211.6199</v>
      </c>
      <c r="AD34" s="2">
        <v>21</v>
      </c>
      <c r="AE34" s="2">
        <v>12</v>
      </c>
      <c r="AF34" s="2">
        <v>7</v>
      </c>
      <c r="AG34" s="2">
        <v>21</v>
      </c>
      <c r="AH34" s="2">
        <v>1</v>
      </c>
      <c r="AI34" t="s">
        <v>64</v>
      </c>
    </row>
    <row r="35" spans="1:35" x14ac:dyDescent="0.3">
      <c r="A35" s="2" t="s">
        <v>35</v>
      </c>
      <c r="B35" s="2" t="s">
        <v>152</v>
      </c>
      <c r="C35" s="2" t="s">
        <v>153</v>
      </c>
      <c r="D35" s="2" t="s">
        <v>74</v>
      </c>
      <c r="E35" s="2" t="s">
        <v>154</v>
      </c>
      <c r="F35" s="2">
        <v>1972</v>
      </c>
      <c r="G35" s="2">
        <v>77</v>
      </c>
      <c r="H35" s="2">
        <v>9</v>
      </c>
      <c r="I35" s="2">
        <v>26</v>
      </c>
      <c r="J35" s="2">
        <v>31</v>
      </c>
      <c r="K35" s="2">
        <v>45</v>
      </c>
      <c r="L35" s="2">
        <f t="shared" ca="1" si="0"/>
        <v>54</v>
      </c>
      <c r="M35" s="2">
        <v>23</v>
      </c>
      <c r="N35" s="2">
        <v>33</v>
      </c>
      <c r="O35" s="2">
        <v>2168</v>
      </c>
      <c r="P35" s="2">
        <f t="shared" ca="1" si="1"/>
        <v>0.42592592592592593</v>
      </c>
      <c r="Q35" s="2">
        <f t="shared" ca="1" si="2"/>
        <v>58.475228475228477</v>
      </c>
      <c r="R35" s="2">
        <v>12.8291</v>
      </c>
      <c r="S35" s="2">
        <f t="shared" si="7"/>
        <v>70.751177922077929</v>
      </c>
      <c r="T35" s="2">
        <v>23</v>
      </c>
      <c r="U35" s="2">
        <v>46</v>
      </c>
      <c r="V35" s="2">
        <v>84.956500000000005</v>
      </c>
      <c r="W35" s="2">
        <f t="shared" si="3"/>
        <v>44.204066555012787</v>
      </c>
      <c r="X35" s="2">
        <v>8</v>
      </c>
      <c r="Y35" s="2">
        <f t="shared" si="4"/>
        <v>32.526911934581186</v>
      </c>
      <c r="Z35" s="2">
        <v>48</v>
      </c>
      <c r="AA35" s="2">
        <f t="shared" si="5"/>
        <v>33.226495451672299</v>
      </c>
      <c r="AB35" s="2">
        <f t="shared" si="6"/>
        <v>37.749165553691384</v>
      </c>
      <c r="AC35" s="2">
        <v>113.1238</v>
      </c>
      <c r="AD35" s="2">
        <v>20</v>
      </c>
      <c r="AE35" s="2">
        <v>5</v>
      </c>
      <c r="AF35" s="2">
        <v>0</v>
      </c>
      <c r="AG35" s="2">
        <v>9</v>
      </c>
      <c r="AH35" s="2">
        <v>16</v>
      </c>
      <c r="AI35" t="s">
        <v>45</v>
      </c>
    </row>
    <row r="36" spans="1:35" x14ac:dyDescent="0.3">
      <c r="A36" s="2" t="s">
        <v>35</v>
      </c>
      <c r="B36" s="2" t="s">
        <v>155</v>
      </c>
      <c r="C36" s="2" t="s">
        <v>156</v>
      </c>
      <c r="D36" s="2" t="s">
        <v>67</v>
      </c>
      <c r="E36" s="2" t="s">
        <v>157</v>
      </c>
      <c r="F36" s="2">
        <v>2001</v>
      </c>
      <c r="G36" s="2">
        <v>3</v>
      </c>
      <c r="H36" s="2">
        <v>1</v>
      </c>
      <c r="I36" s="2">
        <v>1</v>
      </c>
      <c r="J36" s="2">
        <v>1</v>
      </c>
      <c r="K36" s="2">
        <v>1</v>
      </c>
      <c r="L36" s="2">
        <f t="shared" ca="1" si="0"/>
        <v>25</v>
      </c>
      <c r="M36" s="2">
        <v>1</v>
      </c>
      <c r="N36" s="2">
        <v>0</v>
      </c>
      <c r="O36" s="2">
        <v>6</v>
      </c>
      <c r="P36" s="2">
        <f t="shared" ca="1" si="1"/>
        <v>0.04</v>
      </c>
      <c r="Q36" s="2">
        <f t="shared" ca="1" si="2"/>
        <v>48</v>
      </c>
      <c r="R36" s="2">
        <v>0.4385</v>
      </c>
      <c r="S36" s="2">
        <f t="shared" si="7"/>
        <v>47.105166666666662</v>
      </c>
      <c r="T36" s="2">
        <v>1</v>
      </c>
      <c r="U36" s="2">
        <v>2</v>
      </c>
      <c r="V36" s="2">
        <v>5</v>
      </c>
      <c r="W36" s="2">
        <f t="shared" si="3"/>
        <v>2.2360679774997898</v>
      </c>
      <c r="X36" s="2">
        <v>1</v>
      </c>
      <c r="Y36" s="2">
        <f t="shared" si="4"/>
        <v>1.4142135623730951</v>
      </c>
      <c r="Z36" s="2">
        <v>5</v>
      </c>
      <c r="AA36" s="2">
        <f t="shared" si="5"/>
        <v>2.2360679774997898</v>
      </c>
      <c r="AB36" s="2">
        <f t="shared" si="6"/>
        <v>2</v>
      </c>
      <c r="AC36" s="2">
        <v>2.2361</v>
      </c>
      <c r="AD36" s="2">
        <v>1</v>
      </c>
      <c r="AE36" s="2">
        <v>0</v>
      </c>
      <c r="AF36" s="2">
        <v>1</v>
      </c>
      <c r="AG36" s="2">
        <v>0</v>
      </c>
      <c r="AH36" s="2">
        <v>1</v>
      </c>
      <c r="AI36" t="s">
        <v>40</v>
      </c>
    </row>
    <row r="37" spans="1:35" x14ac:dyDescent="0.3">
      <c r="A37" s="2" t="s">
        <v>35</v>
      </c>
      <c r="B37" s="2" t="s">
        <v>158</v>
      </c>
      <c r="C37" s="2" t="s">
        <v>159</v>
      </c>
      <c r="D37" s="2" t="s">
        <v>38</v>
      </c>
      <c r="E37" s="2" t="s">
        <v>160</v>
      </c>
      <c r="F37" s="2">
        <v>1988</v>
      </c>
      <c r="G37" s="2">
        <v>1698</v>
      </c>
      <c r="H37" s="2">
        <v>918</v>
      </c>
      <c r="I37" s="2">
        <v>267</v>
      </c>
      <c r="J37" s="2">
        <v>357</v>
      </c>
      <c r="K37" s="2">
        <v>516</v>
      </c>
      <c r="L37" s="2">
        <f t="shared" ca="1" si="0"/>
        <v>38</v>
      </c>
      <c r="M37" s="2">
        <v>70</v>
      </c>
      <c r="N37" s="2">
        <v>202</v>
      </c>
      <c r="O37" s="2">
        <v>15289</v>
      </c>
      <c r="P37" s="2">
        <f t="shared" ca="1" si="1"/>
        <v>1.8421052631578947</v>
      </c>
      <c r="Q37" s="2">
        <f t="shared" ca="1" si="2"/>
        <v>14.018969685698345</v>
      </c>
      <c r="R37" s="2">
        <v>34.854599999999998</v>
      </c>
      <c r="S37" s="2">
        <f t="shared" si="7"/>
        <v>48.765082921083625</v>
      </c>
      <c r="T37" s="2">
        <v>119</v>
      </c>
      <c r="U37" s="2">
        <v>168</v>
      </c>
      <c r="V37" s="2">
        <v>195.33609999999999</v>
      </c>
      <c r="W37" s="2">
        <f t="shared" si="3"/>
        <v>152.46309684641722</v>
      </c>
      <c r="X37" s="2">
        <v>18</v>
      </c>
      <c r="Y37" s="2">
        <f t="shared" si="4"/>
        <v>141.39306913706909</v>
      </c>
      <c r="Z37" s="2">
        <v>163</v>
      </c>
      <c r="AA37" s="2">
        <f t="shared" si="5"/>
        <v>139.27311298308803</v>
      </c>
      <c r="AB37" s="2">
        <f t="shared" si="6"/>
        <v>95.309998950792135</v>
      </c>
      <c r="AC37" s="2">
        <v>1041.4466</v>
      </c>
      <c r="AD37" s="2">
        <v>90</v>
      </c>
      <c r="AE37" s="2">
        <v>12</v>
      </c>
      <c r="AF37" s="2">
        <v>30</v>
      </c>
      <c r="AG37" s="2">
        <v>81</v>
      </c>
      <c r="AH37" s="2">
        <v>88</v>
      </c>
      <c r="AI37" t="s">
        <v>40</v>
      </c>
    </row>
    <row r="38" spans="1:35" x14ac:dyDescent="0.3">
      <c r="A38" s="2" t="s">
        <v>35</v>
      </c>
      <c r="B38" s="2" t="s">
        <v>161</v>
      </c>
      <c r="C38" s="2" t="s">
        <v>162</v>
      </c>
      <c r="D38" s="2" t="s">
        <v>91</v>
      </c>
      <c r="E38" s="2" t="s">
        <v>163</v>
      </c>
      <c r="F38" s="2">
        <v>2003</v>
      </c>
      <c r="G38" s="2">
        <v>73</v>
      </c>
      <c r="H38" s="2">
        <v>21</v>
      </c>
      <c r="I38" s="2">
        <v>22</v>
      </c>
      <c r="J38" s="2">
        <v>9</v>
      </c>
      <c r="K38" s="2">
        <v>24</v>
      </c>
      <c r="L38" s="2">
        <f t="shared" ca="1" si="0"/>
        <v>23</v>
      </c>
      <c r="M38" s="2">
        <v>12</v>
      </c>
      <c r="N38" s="2">
        <v>14</v>
      </c>
      <c r="O38" s="2">
        <v>503</v>
      </c>
      <c r="P38" s="2">
        <f t="shared" ca="1" si="1"/>
        <v>0.52173913043478259</v>
      </c>
      <c r="Q38" s="2">
        <f t="shared" ca="1" si="2"/>
        <v>30.71471113758189</v>
      </c>
      <c r="R38" s="2">
        <v>5.3566000000000003</v>
      </c>
      <c r="S38" s="2">
        <f t="shared" si="7"/>
        <v>35.3566</v>
      </c>
      <c r="T38" s="2">
        <v>12</v>
      </c>
      <c r="U38" s="2">
        <v>20</v>
      </c>
      <c r="V38" s="2">
        <v>29.166699999999999</v>
      </c>
      <c r="W38" s="2">
        <f t="shared" si="3"/>
        <v>18.70829762431633</v>
      </c>
      <c r="X38" s="2">
        <v>5</v>
      </c>
      <c r="Y38" s="2">
        <f t="shared" si="4"/>
        <v>15.491933384829668</v>
      </c>
      <c r="Z38" s="2">
        <v>26.5</v>
      </c>
      <c r="AA38" s="2">
        <f t="shared" si="5"/>
        <v>17.832554500127006</v>
      </c>
      <c r="AB38" s="2">
        <f t="shared" si="6"/>
        <v>14.352714029060845</v>
      </c>
      <c r="AC38" s="2">
        <v>40.224400000000003</v>
      </c>
      <c r="AD38" s="2">
        <v>8</v>
      </c>
      <c r="AE38" s="2">
        <v>5</v>
      </c>
      <c r="AF38" s="2">
        <v>6</v>
      </c>
      <c r="AG38" s="2">
        <v>8</v>
      </c>
      <c r="AH38" s="2">
        <v>2</v>
      </c>
      <c r="AI38" t="s">
        <v>93</v>
      </c>
    </row>
    <row r="39" spans="1:35" x14ac:dyDescent="0.3">
      <c r="A39" s="2" t="s">
        <v>35</v>
      </c>
      <c r="B39" s="2" t="s">
        <v>164</v>
      </c>
      <c r="C39" s="2" t="s">
        <v>165</v>
      </c>
      <c r="D39" s="2" t="s">
        <v>67</v>
      </c>
      <c r="E39" s="2" t="s">
        <v>166</v>
      </c>
      <c r="F39" s="2">
        <v>1999</v>
      </c>
      <c r="G39" s="2">
        <v>49</v>
      </c>
      <c r="H39" s="2">
        <v>28</v>
      </c>
      <c r="I39" s="2">
        <v>14</v>
      </c>
      <c r="J39" s="2">
        <v>12</v>
      </c>
      <c r="K39" s="2">
        <v>21</v>
      </c>
      <c r="L39" s="2">
        <f t="shared" ca="1" si="0"/>
        <v>27</v>
      </c>
      <c r="M39" s="2">
        <v>17</v>
      </c>
      <c r="N39" s="2">
        <v>21</v>
      </c>
      <c r="O39" s="2">
        <v>1436</v>
      </c>
      <c r="P39" s="2">
        <f t="shared" ca="1" si="1"/>
        <v>0.62962962962962965</v>
      </c>
      <c r="Q39" s="2">
        <f t="shared" ca="1" si="2"/>
        <v>51.693121693121697</v>
      </c>
      <c r="R39" s="2">
        <v>12.4466</v>
      </c>
      <c r="S39" s="2">
        <f t="shared" si="7"/>
        <v>62.854763265306119</v>
      </c>
      <c r="T39" s="2">
        <v>17</v>
      </c>
      <c r="U39" s="2">
        <v>37</v>
      </c>
      <c r="V39" s="2">
        <v>78.647099999999995</v>
      </c>
      <c r="W39" s="2">
        <f t="shared" si="3"/>
        <v>36.565020169555488</v>
      </c>
      <c r="X39" s="2">
        <v>6</v>
      </c>
      <c r="Y39" s="2">
        <f t="shared" si="4"/>
        <v>25.079872407968907</v>
      </c>
      <c r="Z39" s="2">
        <v>38</v>
      </c>
      <c r="AA39" s="2">
        <f t="shared" si="5"/>
        <v>25.416530054277668</v>
      </c>
      <c r="AB39" s="2">
        <f t="shared" si="6"/>
        <v>32.372838924011589</v>
      </c>
      <c r="AC39" s="2">
        <v>75.881500000000003</v>
      </c>
      <c r="AD39" s="2">
        <v>13</v>
      </c>
      <c r="AE39" s="2">
        <v>4</v>
      </c>
      <c r="AF39" s="2">
        <v>3</v>
      </c>
      <c r="AG39" s="2">
        <v>10</v>
      </c>
      <c r="AH39" s="2">
        <v>5</v>
      </c>
      <c r="AI39" t="s">
        <v>40</v>
      </c>
    </row>
    <row r="40" spans="1:35" x14ac:dyDescent="0.3">
      <c r="A40" s="2" t="s">
        <v>35</v>
      </c>
      <c r="B40" s="2" t="s">
        <v>167</v>
      </c>
      <c r="C40" s="2" t="s">
        <v>168</v>
      </c>
      <c r="D40" s="2" t="s">
        <v>109</v>
      </c>
      <c r="E40" s="2" t="s">
        <v>169</v>
      </c>
      <c r="F40" s="2">
        <v>2010</v>
      </c>
      <c r="G40" s="2">
        <v>28</v>
      </c>
      <c r="H40" s="2">
        <v>11</v>
      </c>
      <c r="I40" s="2">
        <v>11</v>
      </c>
      <c r="J40" s="2">
        <v>2</v>
      </c>
      <c r="K40" s="2">
        <v>11</v>
      </c>
      <c r="L40" s="2">
        <f t="shared" ca="1" si="0"/>
        <v>16</v>
      </c>
      <c r="M40" s="2">
        <v>7</v>
      </c>
      <c r="N40" s="2">
        <v>6</v>
      </c>
      <c r="O40" s="2">
        <v>177</v>
      </c>
      <c r="P40" s="2">
        <f t="shared" ca="1" si="1"/>
        <v>0.4375</v>
      </c>
      <c r="Q40" s="2">
        <f t="shared" ca="1" si="2"/>
        <v>42.276785714285715</v>
      </c>
      <c r="R40" s="2">
        <v>5.1896000000000004</v>
      </c>
      <c r="S40" s="2">
        <f t="shared" si="7"/>
        <v>45.903885714285714</v>
      </c>
      <c r="T40" s="2">
        <v>7</v>
      </c>
      <c r="U40" s="2">
        <v>13</v>
      </c>
      <c r="V40" s="2">
        <v>20.857099999999999</v>
      </c>
      <c r="W40" s="2">
        <f t="shared" si="3"/>
        <v>12.083033559499865</v>
      </c>
      <c r="X40" s="2">
        <v>4</v>
      </c>
      <c r="Y40" s="2">
        <f t="shared" si="4"/>
        <v>9.5393920141694561</v>
      </c>
      <c r="Z40" s="2">
        <v>16</v>
      </c>
      <c r="AA40" s="2">
        <f t="shared" si="5"/>
        <v>10.583005244258363</v>
      </c>
      <c r="AB40" s="2">
        <f t="shared" si="6"/>
        <v>9.8488425715918506</v>
      </c>
      <c r="AC40" s="2">
        <v>20.049900000000001</v>
      </c>
      <c r="AD40" s="2">
        <v>5</v>
      </c>
      <c r="AE40" s="2">
        <v>3</v>
      </c>
      <c r="AF40" s="2">
        <v>4</v>
      </c>
      <c r="AG40" s="2">
        <v>3</v>
      </c>
      <c r="AH40" s="2">
        <v>1</v>
      </c>
      <c r="AI40" t="s">
        <v>93</v>
      </c>
    </row>
    <row r="41" spans="1:35" x14ac:dyDescent="0.3">
      <c r="A41" s="2" t="s">
        <v>35</v>
      </c>
      <c r="B41" s="2" t="s">
        <v>170</v>
      </c>
      <c r="C41" s="2" t="s">
        <v>171</v>
      </c>
      <c r="D41" s="2" t="s">
        <v>99</v>
      </c>
      <c r="E41" s="2" t="s">
        <v>172</v>
      </c>
      <c r="F41" s="2">
        <v>1967</v>
      </c>
      <c r="G41" s="2">
        <v>91</v>
      </c>
      <c r="H41" s="2">
        <v>43</v>
      </c>
      <c r="I41" s="2">
        <v>23</v>
      </c>
      <c r="J41" s="2">
        <v>13</v>
      </c>
      <c r="K41" s="2">
        <v>30</v>
      </c>
      <c r="L41" s="2">
        <f t="shared" ca="1" si="0"/>
        <v>59</v>
      </c>
      <c r="M41" s="2">
        <v>17</v>
      </c>
      <c r="N41" s="2">
        <v>22</v>
      </c>
      <c r="O41" s="2">
        <v>2988</v>
      </c>
      <c r="P41" s="2">
        <f t="shared" ca="1" si="1"/>
        <v>0.28813559322033899</v>
      </c>
      <c r="Q41" s="2">
        <f t="shared" ca="1" si="2"/>
        <v>30.756192959582791</v>
      </c>
      <c r="R41" s="2">
        <v>22.241299999999999</v>
      </c>
      <c r="S41" s="2">
        <f t="shared" si="7"/>
        <v>52.680860439560441</v>
      </c>
      <c r="T41" s="2">
        <v>17</v>
      </c>
      <c r="U41" s="2">
        <v>54</v>
      </c>
      <c r="V41" s="2">
        <v>161.11760000000001</v>
      </c>
      <c r="W41" s="2">
        <f t="shared" si="3"/>
        <v>52.33544878951551</v>
      </c>
      <c r="X41" s="2">
        <v>7</v>
      </c>
      <c r="Y41" s="2">
        <f t="shared" si="4"/>
        <v>30.298514815086232</v>
      </c>
      <c r="Z41" s="2">
        <v>32</v>
      </c>
      <c r="AA41" s="2">
        <f t="shared" si="5"/>
        <v>23.323807579381203</v>
      </c>
      <c r="AB41" s="2">
        <f t="shared" si="6"/>
        <v>49.49746660183731</v>
      </c>
      <c r="AC41" s="2">
        <v>87.441400000000002</v>
      </c>
      <c r="AD41" s="2">
        <v>11</v>
      </c>
      <c r="AE41" s="2">
        <v>4</v>
      </c>
      <c r="AF41" s="2">
        <v>5</v>
      </c>
      <c r="AG41" s="2">
        <v>14</v>
      </c>
      <c r="AH41" s="2">
        <v>7</v>
      </c>
      <c r="AI41" t="s">
        <v>45</v>
      </c>
    </row>
    <row r="42" spans="1:35" x14ac:dyDescent="0.3">
      <c r="A42" s="2" t="s">
        <v>35</v>
      </c>
      <c r="B42" s="2" t="s">
        <v>173</v>
      </c>
      <c r="C42" s="2" t="s">
        <v>174</v>
      </c>
      <c r="D42" s="2" t="s">
        <v>38</v>
      </c>
      <c r="E42" s="2" t="s">
        <v>175</v>
      </c>
      <c r="F42" s="2">
        <v>1985</v>
      </c>
      <c r="G42" s="2">
        <v>90</v>
      </c>
      <c r="H42" s="2">
        <v>36</v>
      </c>
      <c r="I42" s="2">
        <v>17</v>
      </c>
      <c r="J42" s="2">
        <v>37</v>
      </c>
      <c r="K42" s="2">
        <v>51</v>
      </c>
      <c r="L42" s="2">
        <f t="shared" ca="1" si="0"/>
        <v>41</v>
      </c>
      <c r="M42" s="2">
        <v>34</v>
      </c>
      <c r="N42" s="2">
        <v>68</v>
      </c>
      <c r="O42" s="2">
        <v>3078</v>
      </c>
      <c r="P42" s="2">
        <f t="shared" ca="1" si="1"/>
        <v>0.82926829268292679</v>
      </c>
      <c r="Q42" s="2">
        <f t="shared" ca="1" si="2"/>
        <v>63.032520325203251</v>
      </c>
      <c r="R42" s="2">
        <v>12.4518</v>
      </c>
      <c r="S42" s="2">
        <f t="shared" si="7"/>
        <v>74.56291111111112</v>
      </c>
      <c r="T42" s="2">
        <v>34</v>
      </c>
      <c r="U42" s="2">
        <v>53</v>
      </c>
      <c r="V42" s="2">
        <v>68.235299999999995</v>
      </c>
      <c r="W42" s="2">
        <f t="shared" si="3"/>
        <v>48.166380391306134</v>
      </c>
      <c r="X42" s="2">
        <v>8</v>
      </c>
      <c r="Y42" s="2">
        <f t="shared" si="4"/>
        <v>42.449970553582247</v>
      </c>
      <c r="Z42" s="2">
        <v>54.5</v>
      </c>
      <c r="AA42" s="2">
        <f t="shared" si="5"/>
        <v>43.046486500061768</v>
      </c>
      <c r="AB42" s="2">
        <f t="shared" si="6"/>
        <v>34.117447149515741</v>
      </c>
      <c r="AC42" s="2">
        <v>170.06180000000001</v>
      </c>
      <c r="AD42" s="2">
        <v>26</v>
      </c>
      <c r="AE42" s="2">
        <v>10</v>
      </c>
      <c r="AF42" s="2">
        <v>10</v>
      </c>
      <c r="AG42" s="2">
        <v>16</v>
      </c>
      <c r="AH42" s="2">
        <v>19</v>
      </c>
      <c r="AI42" t="s">
        <v>40</v>
      </c>
    </row>
    <row r="43" spans="1:35" x14ac:dyDescent="0.3">
      <c r="A43" s="2" t="s">
        <v>35</v>
      </c>
      <c r="B43" s="2" t="s">
        <v>176</v>
      </c>
      <c r="C43" s="2" t="s">
        <v>177</v>
      </c>
      <c r="D43" s="2" t="s">
        <v>62</v>
      </c>
      <c r="E43" s="2" t="s">
        <v>178</v>
      </c>
      <c r="F43" s="2">
        <v>2013</v>
      </c>
      <c r="G43" s="2">
        <v>5</v>
      </c>
      <c r="H43" s="2">
        <v>1</v>
      </c>
      <c r="I43" s="2">
        <v>1</v>
      </c>
      <c r="J43" s="2">
        <v>0</v>
      </c>
      <c r="K43" s="2">
        <v>1</v>
      </c>
      <c r="L43" s="2">
        <f t="shared" ca="1" si="0"/>
        <v>13</v>
      </c>
      <c r="M43" s="2">
        <v>2</v>
      </c>
      <c r="N43" s="2">
        <v>0</v>
      </c>
      <c r="O43" s="2">
        <v>11</v>
      </c>
      <c r="P43" s="2">
        <f t="shared" ca="1" si="1"/>
        <v>0.15384615384615385</v>
      </c>
      <c r="Q43" s="2">
        <f t="shared" ca="1" si="2"/>
        <v>51.076923076923073</v>
      </c>
      <c r="R43" s="2">
        <v>1.6761999999999999</v>
      </c>
      <c r="S43" s="2">
        <f t="shared" si="7"/>
        <v>49.676200000000001</v>
      </c>
      <c r="T43" s="2">
        <v>2</v>
      </c>
      <c r="U43" s="2">
        <v>3</v>
      </c>
      <c r="V43" s="2">
        <v>5</v>
      </c>
      <c r="W43" s="2">
        <f t="shared" si="3"/>
        <v>3.1622776601683795</v>
      </c>
      <c r="X43" s="2">
        <v>1</v>
      </c>
      <c r="Y43" s="2">
        <f t="shared" si="4"/>
        <v>2.4494897427831779</v>
      </c>
      <c r="Z43" s="2">
        <v>5</v>
      </c>
      <c r="AA43" s="2">
        <f t="shared" si="5"/>
        <v>3.1622776601683795</v>
      </c>
      <c r="AB43" s="2">
        <f t="shared" si="6"/>
        <v>2.4494897427831779</v>
      </c>
      <c r="AC43" s="2">
        <v>3.4641000000000002</v>
      </c>
      <c r="AD43" s="2">
        <v>1</v>
      </c>
      <c r="AE43" s="2">
        <v>0</v>
      </c>
      <c r="AF43" s="2">
        <v>1</v>
      </c>
      <c r="AG43" s="2">
        <v>1</v>
      </c>
      <c r="AH43" s="2">
        <v>0</v>
      </c>
      <c r="AI43" t="s">
        <v>64</v>
      </c>
    </row>
    <row r="44" spans="1:35" x14ac:dyDescent="0.3">
      <c r="A44" s="2" t="s">
        <v>35</v>
      </c>
      <c r="B44" s="2" t="s">
        <v>179</v>
      </c>
      <c r="C44" s="2" t="s">
        <v>180</v>
      </c>
      <c r="D44" s="2" t="s">
        <v>91</v>
      </c>
      <c r="E44" s="2" t="s">
        <v>181</v>
      </c>
      <c r="F44" s="2">
        <v>2014</v>
      </c>
      <c r="G44" s="2">
        <v>40</v>
      </c>
      <c r="H44" s="2">
        <v>11</v>
      </c>
      <c r="I44" s="2">
        <v>19</v>
      </c>
      <c r="J44" s="2">
        <v>6</v>
      </c>
      <c r="K44" s="2">
        <v>20</v>
      </c>
      <c r="L44" s="2">
        <f t="shared" ca="1" si="0"/>
        <v>12</v>
      </c>
      <c r="M44" s="2">
        <v>9</v>
      </c>
      <c r="N44" s="2">
        <v>9</v>
      </c>
      <c r="O44" s="2">
        <v>216</v>
      </c>
      <c r="P44" s="2">
        <f t="shared" ca="1" si="1"/>
        <v>0.75</v>
      </c>
      <c r="Q44" s="2">
        <f t="shared" ca="1" si="2"/>
        <v>46.625</v>
      </c>
      <c r="R44" s="2">
        <v>5.0965999999999996</v>
      </c>
      <c r="S44" s="2">
        <f t="shared" si="7"/>
        <v>49.846600000000002</v>
      </c>
      <c r="T44" s="2">
        <v>9</v>
      </c>
      <c r="U44" s="2">
        <v>13</v>
      </c>
      <c r="V44" s="2">
        <v>17.666699999999999</v>
      </c>
      <c r="W44" s="2">
        <f t="shared" si="3"/>
        <v>12.609532108686665</v>
      </c>
      <c r="X44" s="2">
        <v>4</v>
      </c>
      <c r="Y44" s="2">
        <f t="shared" si="4"/>
        <v>10.816653826391969</v>
      </c>
      <c r="Z44" s="2">
        <v>15</v>
      </c>
      <c r="AA44" s="2">
        <f t="shared" si="5"/>
        <v>11.61895003862225</v>
      </c>
      <c r="AB44" s="2">
        <f t="shared" si="6"/>
        <v>8.8317778504670272</v>
      </c>
      <c r="AC44" s="2">
        <v>25.651499999999999</v>
      </c>
      <c r="AD44" s="2">
        <v>6</v>
      </c>
      <c r="AE44" s="2">
        <v>6</v>
      </c>
      <c r="AF44" s="2">
        <v>3</v>
      </c>
      <c r="AG44" s="2">
        <v>5</v>
      </c>
      <c r="AH44" s="2">
        <v>2</v>
      </c>
      <c r="AI44" t="s">
        <v>93</v>
      </c>
    </row>
    <row r="45" spans="1:35" x14ac:dyDescent="0.3">
      <c r="A45" s="2" t="s">
        <v>35</v>
      </c>
      <c r="B45" s="2" t="s">
        <v>182</v>
      </c>
      <c r="C45" s="2" t="s">
        <v>183</v>
      </c>
      <c r="D45" s="2" t="s">
        <v>91</v>
      </c>
      <c r="E45" s="2" t="s">
        <v>184</v>
      </c>
      <c r="F45" s="2">
        <v>1985</v>
      </c>
      <c r="G45" s="2">
        <v>58</v>
      </c>
      <c r="H45" s="2">
        <v>16</v>
      </c>
      <c r="I45" s="2">
        <v>22</v>
      </c>
      <c r="J45" s="2">
        <v>3</v>
      </c>
      <c r="K45" s="2">
        <v>22</v>
      </c>
      <c r="L45" s="2">
        <f t="shared" ca="1" si="0"/>
        <v>41</v>
      </c>
      <c r="M45" s="2">
        <v>12</v>
      </c>
      <c r="N45" s="2">
        <v>13</v>
      </c>
      <c r="O45" s="2">
        <v>1870</v>
      </c>
      <c r="P45" s="2">
        <f t="shared" ca="1" si="1"/>
        <v>0.29268292682926828</v>
      </c>
      <c r="Q45" s="2">
        <f t="shared" ca="1" si="2"/>
        <v>37.401177460050455</v>
      </c>
      <c r="R45" s="2">
        <v>14.7026</v>
      </c>
      <c r="S45" s="2">
        <f t="shared" si="7"/>
        <v>51.599151724137926</v>
      </c>
      <c r="T45" s="2">
        <v>12</v>
      </c>
      <c r="U45" s="2">
        <v>43</v>
      </c>
      <c r="V45" s="2">
        <v>145.5</v>
      </c>
      <c r="W45" s="2">
        <f t="shared" si="3"/>
        <v>41.785164831552358</v>
      </c>
      <c r="X45" s="2">
        <v>5</v>
      </c>
      <c r="Y45" s="2">
        <f t="shared" si="4"/>
        <v>22.715633383201094</v>
      </c>
      <c r="Z45" s="2">
        <v>21.5</v>
      </c>
      <c r="AA45" s="2">
        <f t="shared" si="5"/>
        <v>16.06237840420901</v>
      </c>
      <c r="AB45" s="2">
        <f t="shared" si="6"/>
        <v>40.024992192379003</v>
      </c>
      <c r="AC45" s="2">
        <v>57.148899999999998</v>
      </c>
      <c r="AD45" s="2">
        <v>10</v>
      </c>
      <c r="AE45" s="2">
        <v>8</v>
      </c>
      <c r="AF45" s="2">
        <v>6</v>
      </c>
      <c r="AG45" s="2">
        <v>5</v>
      </c>
      <c r="AH45" s="2">
        <v>1</v>
      </c>
      <c r="AI45" t="s">
        <v>93</v>
      </c>
    </row>
    <row r="46" spans="1:35" x14ac:dyDescent="0.3">
      <c r="A46" s="2" t="s">
        <v>35</v>
      </c>
      <c r="B46" s="2" t="s">
        <v>185</v>
      </c>
      <c r="C46" s="2" t="s">
        <v>186</v>
      </c>
      <c r="D46" s="2" t="s">
        <v>187</v>
      </c>
      <c r="E46" s="2" t="s">
        <v>188</v>
      </c>
      <c r="F46" s="2">
        <v>1996</v>
      </c>
      <c r="G46" s="2">
        <v>108</v>
      </c>
      <c r="H46" s="2">
        <v>20</v>
      </c>
      <c r="I46" s="2">
        <v>44</v>
      </c>
      <c r="J46" s="2">
        <v>38</v>
      </c>
      <c r="K46" s="2">
        <v>56</v>
      </c>
      <c r="L46" s="2">
        <f t="shared" ca="1" si="0"/>
        <v>30</v>
      </c>
      <c r="M46" s="2">
        <v>34</v>
      </c>
      <c r="N46" s="2">
        <v>58</v>
      </c>
      <c r="O46" s="2">
        <v>3482</v>
      </c>
      <c r="P46" s="2">
        <f t="shared" ca="1" si="1"/>
        <v>1.1333333333333333</v>
      </c>
      <c r="Q46" s="2">
        <f t="shared" ca="1" si="2"/>
        <v>56.604938271604937</v>
      </c>
      <c r="R46" s="2">
        <v>16.681100000000001</v>
      </c>
      <c r="S46" s="2">
        <f t="shared" si="7"/>
        <v>72.236655555555558</v>
      </c>
      <c r="T46" s="2">
        <v>34</v>
      </c>
      <c r="U46" s="2">
        <v>58</v>
      </c>
      <c r="V46" s="2">
        <v>84.441199999999995</v>
      </c>
      <c r="W46" s="2">
        <f t="shared" si="3"/>
        <v>53.581720763708212</v>
      </c>
      <c r="X46" s="2">
        <v>9</v>
      </c>
      <c r="Y46" s="2">
        <f t="shared" si="4"/>
        <v>44.407206622349037</v>
      </c>
      <c r="Z46" s="2">
        <v>66</v>
      </c>
      <c r="AA46" s="2">
        <f t="shared" si="5"/>
        <v>47.370877129308042</v>
      </c>
      <c r="AB46" s="2">
        <f t="shared" si="6"/>
        <v>41.412568140601955</v>
      </c>
      <c r="AC46" s="2">
        <v>189.30930000000001</v>
      </c>
      <c r="AD46" s="2">
        <v>25</v>
      </c>
      <c r="AE46" s="2">
        <v>7</v>
      </c>
      <c r="AF46" s="2">
        <v>6</v>
      </c>
      <c r="AG46" s="2">
        <v>17</v>
      </c>
      <c r="AH46" s="2">
        <v>22</v>
      </c>
      <c r="AI46" t="s">
        <v>45</v>
      </c>
    </row>
    <row r="47" spans="1:35" x14ac:dyDescent="0.3">
      <c r="A47" s="2" t="s">
        <v>35</v>
      </c>
      <c r="B47" s="2" t="s">
        <v>189</v>
      </c>
      <c r="C47" s="2" t="s">
        <v>190</v>
      </c>
      <c r="D47" s="2" t="s">
        <v>38</v>
      </c>
      <c r="E47" s="2" t="s">
        <v>191</v>
      </c>
      <c r="F47" s="2">
        <v>1995</v>
      </c>
      <c r="G47" s="2">
        <v>304</v>
      </c>
      <c r="H47" s="2">
        <v>141</v>
      </c>
      <c r="I47" s="2">
        <v>19</v>
      </c>
      <c r="J47" s="2">
        <v>91</v>
      </c>
      <c r="K47" s="2">
        <v>103</v>
      </c>
      <c r="L47" s="2">
        <f t="shared" ca="1" si="0"/>
        <v>31</v>
      </c>
      <c r="M47" s="2">
        <v>61</v>
      </c>
      <c r="N47" s="2">
        <v>177</v>
      </c>
      <c r="O47" s="2">
        <v>12605</v>
      </c>
      <c r="P47" s="2">
        <f t="shared" ca="1" si="1"/>
        <v>1.967741935483871</v>
      </c>
      <c r="Q47" s="2">
        <f t="shared" ca="1" si="2"/>
        <v>33.015704584040755</v>
      </c>
      <c r="R47" s="2">
        <v>30.047599999999999</v>
      </c>
      <c r="S47" s="2">
        <f t="shared" si="7"/>
        <v>62.416021052631578</v>
      </c>
      <c r="T47" s="2">
        <v>61</v>
      </c>
      <c r="U47" s="2">
        <v>105</v>
      </c>
      <c r="V47" s="2">
        <v>150.39340000000001</v>
      </c>
      <c r="W47" s="2">
        <f t="shared" si="3"/>
        <v>95.780986630959276</v>
      </c>
      <c r="X47" s="2">
        <v>13</v>
      </c>
      <c r="Y47" s="2">
        <f t="shared" si="4"/>
        <v>80.031243898867402</v>
      </c>
      <c r="Z47" s="2">
        <v>119</v>
      </c>
      <c r="AA47" s="2">
        <f t="shared" si="5"/>
        <v>85.199765257892579</v>
      </c>
      <c r="AB47" s="2">
        <f t="shared" si="6"/>
        <v>73.84441346506857</v>
      </c>
      <c r="AC47" s="2">
        <v>434.64010000000002</v>
      </c>
      <c r="AD47" s="2">
        <v>45</v>
      </c>
      <c r="AE47" s="2">
        <v>8</v>
      </c>
      <c r="AF47" s="2">
        <v>14</v>
      </c>
      <c r="AG47" s="2">
        <v>42</v>
      </c>
      <c r="AH47" s="2">
        <v>36</v>
      </c>
      <c r="AI47" t="s">
        <v>40</v>
      </c>
    </row>
    <row r="48" spans="1:35" x14ac:dyDescent="0.3">
      <c r="A48" s="2" t="s">
        <v>35</v>
      </c>
      <c r="B48" s="2" t="s">
        <v>192</v>
      </c>
      <c r="C48" s="2" t="s">
        <v>193</v>
      </c>
      <c r="D48" s="2" t="s">
        <v>91</v>
      </c>
      <c r="E48" s="2" t="s">
        <v>194</v>
      </c>
      <c r="F48" s="2">
        <v>2008</v>
      </c>
      <c r="G48" s="2">
        <v>32</v>
      </c>
      <c r="H48" s="2">
        <v>5</v>
      </c>
      <c r="I48" s="2">
        <v>14</v>
      </c>
      <c r="J48" s="2">
        <v>1</v>
      </c>
      <c r="K48" s="2">
        <v>14</v>
      </c>
      <c r="L48" s="2">
        <f t="shared" ca="1" si="0"/>
        <v>18</v>
      </c>
      <c r="M48" s="2">
        <v>13</v>
      </c>
      <c r="N48" s="2">
        <v>14</v>
      </c>
      <c r="O48" s="2">
        <v>787</v>
      </c>
      <c r="P48" s="2">
        <f t="shared" ca="1" si="1"/>
        <v>0.72222222222222221</v>
      </c>
      <c r="Q48" s="2">
        <f t="shared" ca="1" si="2"/>
        <v>63.194444444444443</v>
      </c>
      <c r="R48" s="2">
        <v>8.8878000000000004</v>
      </c>
      <c r="S48" s="2">
        <f t="shared" si="7"/>
        <v>69.825299999999999</v>
      </c>
      <c r="T48" s="2">
        <v>13</v>
      </c>
      <c r="U48" s="2">
        <v>28</v>
      </c>
      <c r="V48" s="2">
        <v>55.384599999999999</v>
      </c>
      <c r="W48" s="2">
        <f t="shared" si="3"/>
        <v>26.832812003217253</v>
      </c>
      <c r="X48" s="2">
        <v>6</v>
      </c>
      <c r="Y48" s="2">
        <f t="shared" si="4"/>
        <v>19.078784028338912</v>
      </c>
      <c r="Z48" s="2">
        <v>24</v>
      </c>
      <c r="AA48" s="2">
        <f t="shared" si="5"/>
        <v>17.663521732655695</v>
      </c>
      <c r="AB48" s="2">
        <f t="shared" si="6"/>
        <v>23.473384928467389</v>
      </c>
      <c r="AC48" s="2">
        <v>52.325899999999997</v>
      </c>
      <c r="AD48" s="2">
        <v>10</v>
      </c>
      <c r="AE48" s="2">
        <v>10</v>
      </c>
      <c r="AF48" s="2">
        <v>2</v>
      </c>
      <c r="AG48" s="2">
        <v>5</v>
      </c>
      <c r="AH48" s="2">
        <v>0</v>
      </c>
      <c r="AI48" t="s">
        <v>93</v>
      </c>
    </row>
    <row r="49" spans="1:35" x14ac:dyDescent="0.3">
      <c r="A49" s="2" t="s">
        <v>35</v>
      </c>
      <c r="B49" s="2" t="s">
        <v>195</v>
      </c>
      <c r="C49" s="2" t="s">
        <v>196</v>
      </c>
      <c r="D49" s="2" t="s">
        <v>91</v>
      </c>
      <c r="E49" s="2" t="s">
        <v>197</v>
      </c>
      <c r="F49" s="2">
        <v>2000</v>
      </c>
      <c r="G49" s="2">
        <v>17</v>
      </c>
      <c r="H49" s="2">
        <v>3</v>
      </c>
      <c r="I49" s="2">
        <v>1</v>
      </c>
      <c r="J49" s="2">
        <v>1</v>
      </c>
      <c r="K49" s="2">
        <v>1</v>
      </c>
      <c r="L49" s="2">
        <f t="shared" ca="1" si="0"/>
        <v>26</v>
      </c>
      <c r="M49" s="2">
        <v>4</v>
      </c>
      <c r="N49" s="2">
        <v>3</v>
      </c>
      <c r="O49" s="2">
        <v>117</v>
      </c>
      <c r="P49" s="2">
        <f t="shared" ca="1" si="1"/>
        <v>0.15384615384615385</v>
      </c>
      <c r="Q49" s="2">
        <f t="shared" ca="1" si="2"/>
        <v>25.610859728506792</v>
      </c>
      <c r="R49" s="2">
        <v>2.8521000000000001</v>
      </c>
      <c r="S49" s="2">
        <f t="shared" si="7"/>
        <v>27.557982352941178</v>
      </c>
      <c r="T49" s="2">
        <v>4</v>
      </c>
      <c r="U49" s="2">
        <v>10</v>
      </c>
      <c r="V49" s="2">
        <v>25.75</v>
      </c>
      <c r="W49" s="2">
        <f t="shared" si="3"/>
        <v>10.148891565092219</v>
      </c>
      <c r="X49" s="2">
        <v>3</v>
      </c>
      <c r="Y49" s="2">
        <f t="shared" si="4"/>
        <v>6.324555320336759</v>
      </c>
      <c r="Z49" s="2">
        <v>27.5</v>
      </c>
      <c r="AA49" s="2">
        <f t="shared" si="5"/>
        <v>10.488088481701515</v>
      </c>
      <c r="AB49" s="2">
        <f t="shared" si="6"/>
        <v>9.3273790530888157</v>
      </c>
      <c r="AC49" s="2">
        <v>13.856400000000001</v>
      </c>
      <c r="AD49" s="2">
        <v>3</v>
      </c>
      <c r="AE49" s="2">
        <v>0</v>
      </c>
      <c r="AF49" s="2">
        <v>3</v>
      </c>
      <c r="AG49" s="2">
        <v>3</v>
      </c>
      <c r="AH49" s="2">
        <v>0</v>
      </c>
      <c r="AI49" t="s">
        <v>93</v>
      </c>
    </row>
    <row r="50" spans="1:35" x14ac:dyDescent="0.3">
      <c r="A50" s="2" t="s">
        <v>35</v>
      </c>
      <c r="B50" s="2" t="s">
        <v>198</v>
      </c>
      <c r="C50" s="2" t="s">
        <v>199</v>
      </c>
      <c r="D50" s="2" t="s">
        <v>51</v>
      </c>
      <c r="E50" s="2" t="s">
        <v>200</v>
      </c>
      <c r="F50" s="2">
        <v>1989</v>
      </c>
      <c r="G50" s="2">
        <v>70</v>
      </c>
      <c r="H50" s="2">
        <v>22</v>
      </c>
      <c r="I50" s="2">
        <v>2</v>
      </c>
      <c r="J50" s="2">
        <v>1</v>
      </c>
      <c r="K50" s="2">
        <v>3</v>
      </c>
      <c r="L50" s="2">
        <f t="shared" ca="1" si="0"/>
        <v>37</v>
      </c>
      <c r="M50" s="2">
        <v>13</v>
      </c>
      <c r="N50" s="2">
        <v>20</v>
      </c>
      <c r="O50" s="2">
        <v>607</v>
      </c>
      <c r="P50" s="2">
        <f t="shared" ca="1" si="1"/>
        <v>0.35135135135135137</v>
      </c>
      <c r="Q50" s="2">
        <f t="shared" ca="1" si="2"/>
        <v>18.073359073359075</v>
      </c>
      <c r="R50" s="2">
        <v>7.4585999999999997</v>
      </c>
      <c r="S50" s="2">
        <f t="shared" si="7"/>
        <v>25.030028571428574</v>
      </c>
      <c r="T50" s="2">
        <v>13</v>
      </c>
      <c r="U50" s="2">
        <v>23</v>
      </c>
      <c r="V50" s="2">
        <v>33.230800000000002</v>
      </c>
      <c r="W50" s="2">
        <f t="shared" si="3"/>
        <v>20.784619313328786</v>
      </c>
      <c r="X50" s="2">
        <v>5</v>
      </c>
      <c r="Y50" s="2">
        <f t="shared" si="4"/>
        <v>17.291616465790582</v>
      </c>
      <c r="Z50" s="2">
        <v>25</v>
      </c>
      <c r="AA50" s="2">
        <f t="shared" si="5"/>
        <v>18.027756377319946</v>
      </c>
      <c r="AB50" s="2">
        <f t="shared" si="6"/>
        <v>16.217287072750487</v>
      </c>
      <c r="AC50" s="2">
        <v>47.801699999999997</v>
      </c>
      <c r="AD50" s="2">
        <v>9</v>
      </c>
      <c r="AE50" s="2">
        <v>0</v>
      </c>
      <c r="AF50" s="2">
        <v>7</v>
      </c>
      <c r="AG50" s="2">
        <v>11</v>
      </c>
      <c r="AH50" s="2">
        <v>1</v>
      </c>
      <c r="AI50" t="s">
        <v>40</v>
      </c>
    </row>
    <row r="51" spans="1:35" x14ac:dyDescent="0.3">
      <c r="A51" s="2" t="s">
        <v>35</v>
      </c>
      <c r="B51" s="2" t="s">
        <v>201</v>
      </c>
      <c r="C51" s="2" t="s">
        <v>202</v>
      </c>
      <c r="D51" s="2" t="s">
        <v>74</v>
      </c>
      <c r="E51" s="2" t="s">
        <v>203</v>
      </c>
      <c r="F51" s="2">
        <v>1986</v>
      </c>
      <c r="G51" s="2">
        <v>89</v>
      </c>
      <c r="H51" s="2">
        <v>12</v>
      </c>
      <c r="I51" s="2">
        <v>32</v>
      </c>
      <c r="J51" s="2">
        <v>26</v>
      </c>
      <c r="K51" s="2">
        <v>42</v>
      </c>
      <c r="L51" s="2">
        <f t="shared" ca="1" si="0"/>
        <v>40</v>
      </c>
      <c r="M51" s="2">
        <v>26</v>
      </c>
      <c r="N51" s="2">
        <v>34</v>
      </c>
      <c r="O51" s="2">
        <v>1779</v>
      </c>
      <c r="P51" s="2">
        <f t="shared" ca="1" si="1"/>
        <v>0.65</v>
      </c>
      <c r="Q51" s="2">
        <f t="shared" ca="1" si="2"/>
        <v>52.191011235955052</v>
      </c>
      <c r="R51" s="2">
        <v>11.9131</v>
      </c>
      <c r="S51" s="2">
        <f t="shared" si="7"/>
        <v>63.373774157303373</v>
      </c>
      <c r="T51" s="2">
        <v>26</v>
      </c>
      <c r="U51" s="2">
        <v>41</v>
      </c>
      <c r="V51" s="2">
        <v>58.846200000000003</v>
      </c>
      <c r="W51" s="2">
        <f t="shared" si="3"/>
        <v>39.115229770512663</v>
      </c>
      <c r="X51" s="2">
        <v>8</v>
      </c>
      <c r="Y51" s="2">
        <f t="shared" si="4"/>
        <v>32.649655434629018</v>
      </c>
      <c r="Z51" s="2">
        <v>51</v>
      </c>
      <c r="AA51" s="2">
        <f t="shared" si="5"/>
        <v>36.414282912066248</v>
      </c>
      <c r="AB51" s="2">
        <f t="shared" si="6"/>
        <v>29.22329892397503</v>
      </c>
      <c r="AC51" s="2">
        <v>124.916</v>
      </c>
      <c r="AD51" s="2">
        <v>18</v>
      </c>
      <c r="AE51" s="2">
        <v>5</v>
      </c>
      <c r="AF51" s="2">
        <v>9</v>
      </c>
      <c r="AG51" s="2">
        <v>10</v>
      </c>
      <c r="AH51" s="2">
        <v>11</v>
      </c>
      <c r="AI51" t="s">
        <v>45</v>
      </c>
    </row>
    <row r="52" spans="1:35" x14ac:dyDescent="0.3">
      <c r="A52" s="2" t="s">
        <v>35</v>
      </c>
      <c r="B52" s="2" t="s">
        <v>204</v>
      </c>
      <c r="C52" s="2" t="s">
        <v>205</v>
      </c>
      <c r="D52" s="2" t="s">
        <v>51</v>
      </c>
      <c r="E52" s="2" t="s">
        <v>206</v>
      </c>
      <c r="F52" s="2">
        <v>1994</v>
      </c>
      <c r="G52" s="2">
        <v>56</v>
      </c>
      <c r="H52" s="2">
        <v>32</v>
      </c>
      <c r="I52" s="2">
        <v>7</v>
      </c>
      <c r="J52" s="2">
        <v>22</v>
      </c>
      <c r="K52" s="2">
        <v>26</v>
      </c>
      <c r="L52" s="2">
        <f t="shared" ca="1" si="0"/>
        <v>32</v>
      </c>
      <c r="M52" s="2">
        <v>24</v>
      </c>
      <c r="N52" s="2">
        <v>35</v>
      </c>
      <c r="O52" s="2">
        <v>3225</v>
      </c>
      <c r="P52" s="2">
        <f t="shared" ca="1" si="1"/>
        <v>0.75</v>
      </c>
      <c r="Q52" s="2">
        <f t="shared" ca="1" si="2"/>
        <v>61.696428571428569</v>
      </c>
      <c r="R52" s="2">
        <v>18.273700000000002</v>
      </c>
      <c r="S52" s="2">
        <f t="shared" si="7"/>
        <v>78.630842857142852</v>
      </c>
      <c r="T52" s="2">
        <v>24</v>
      </c>
      <c r="U52" s="2">
        <v>56</v>
      </c>
      <c r="V52" s="2">
        <v>124.54170000000001</v>
      </c>
      <c r="W52" s="2">
        <f t="shared" si="3"/>
        <v>54.671755047739232</v>
      </c>
      <c r="X52" s="2">
        <v>9</v>
      </c>
      <c r="Y52" s="2">
        <f t="shared" si="4"/>
        <v>36.660605559646719</v>
      </c>
      <c r="Z52" s="2">
        <v>65.5</v>
      </c>
      <c r="AA52" s="2">
        <f t="shared" si="5"/>
        <v>39.648455203198019</v>
      </c>
      <c r="AB52" s="2">
        <f t="shared" si="6"/>
        <v>49.122304506201665</v>
      </c>
      <c r="AC52" s="2">
        <v>138.60740000000001</v>
      </c>
      <c r="AD52" s="2">
        <v>20</v>
      </c>
      <c r="AE52" s="2">
        <v>4</v>
      </c>
      <c r="AF52" s="2">
        <v>6</v>
      </c>
      <c r="AG52" s="2">
        <v>10</v>
      </c>
      <c r="AH52" s="2">
        <v>15</v>
      </c>
      <c r="AI52" t="s">
        <v>40</v>
      </c>
    </row>
    <row r="53" spans="1:35" x14ac:dyDescent="0.3">
      <c r="A53" s="2" t="s">
        <v>35</v>
      </c>
      <c r="B53" s="2" t="s">
        <v>207</v>
      </c>
      <c r="C53" s="2" t="s">
        <v>208</v>
      </c>
      <c r="D53" s="2" t="s">
        <v>43</v>
      </c>
      <c r="E53" s="2" t="s">
        <v>209</v>
      </c>
      <c r="F53" s="2">
        <v>2000</v>
      </c>
      <c r="G53" s="2">
        <v>12</v>
      </c>
      <c r="H53" s="2">
        <v>3</v>
      </c>
      <c r="I53" s="2">
        <v>4</v>
      </c>
      <c r="J53" s="2">
        <v>3</v>
      </c>
      <c r="K53" s="2">
        <v>4</v>
      </c>
      <c r="L53" s="2">
        <f t="shared" ca="1" si="0"/>
        <v>26</v>
      </c>
      <c r="M53" s="2">
        <v>5</v>
      </c>
      <c r="N53" s="2">
        <v>4</v>
      </c>
      <c r="O53" s="2">
        <v>216</v>
      </c>
      <c r="P53" s="2">
        <f t="shared" ca="1" si="1"/>
        <v>0.19230769230769232</v>
      </c>
      <c r="Q53" s="2">
        <f t="shared" ca="1" si="2"/>
        <v>57.435897435897445</v>
      </c>
      <c r="R53" s="2">
        <v>4.0971000000000002</v>
      </c>
      <c r="S53" s="2">
        <f t="shared" si="7"/>
        <v>59.930433333333333</v>
      </c>
      <c r="T53" s="2">
        <v>5</v>
      </c>
      <c r="U53" s="2">
        <v>12</v>
      </c>
      <c r="V53" s="2">
        <v>42</v>
      </c>
      <c r="W53" s="2">
        <f t="shared" si="3"/>
        <v>14.491376746189438</v>
      </c>
      <c r="X53" s="2">
        <v>4</v>
      </c>
      <c r="Y53" s="2">
        <f t="shared" si="4"/>
        <v>7.745966692414834</v>
      </c>
      <c r="Z53" s="2">
        <v>31</v>
      </c>
      <c r="AA53" s="2">
        <f t="shared" si="5"/>
        <v>12.449899597988733</v>
      </c>
      <c r="AB53" s="2">
        <f t="shared" si="6"/>
        <v>13.601470508735444</v>
      </c>
      <c r="AC53" s="2">
        <v>20.664000000000001</v>
      </c>
      <c r="AD53" s="2">
        <v>4</v>
      </c>
      <c r="AE53" s="2">
        <v>1</v>
      </c>
      <c r="AF53" s="2">
        <v>2</v>
      </c>
      <c r="AG53" s="2">
        <v>2</v>
      </c>
      <c r="AH53" s="2">
        <v>1</v>
      </c>
      <c r="AI53" t="s">
        <v>45</v>
      </c>
    </row>
    <row r="54" spans="1:35" x14ac:dyDescent="0.3">
      <c r="A54" s="2" t="s">
        <v>35</v>
      </c>
      <c r="B54" s="2" t="s">
        <v>210</v>
      </c>
      <c r="C54" s="2" t="s">
        <v>211</v>
      </c>
      <c r="D54" s="2" t="s">
        <v>38</v>
      </c>
      <c r="E54" s="2" t="s">
        <v>212</v>
      </c>
      <c r="F54" s="2">
        <v>1981</v>
      </c>
      <c r="G54" s="2">
        <v>118</v>
      </c>
      <c r="H54" s="2">
        <v>30</v>
      </c>
      <c r="I54" s="2">
        <v>47</v>
      </c>
      <c r="J54" s="2">
        <v>23</v>
      </c>
      <c r="K54" s="2">
        <v>49</v>
      </c>
      <c r="L54" s="2">
        <f t="shared" ca="1" si="0"/>
        <v>45</v>
      </c>
      <c r="M54" s="2">
        <v>12</v>
      </c>
      <c r="N54" s="2">
        <v>16</v>
      </c>
      <c r="O54" s="2">
        <v>527</v>
      </c>
      <c r="P54" s="2">
        <f t="shared" ca="1" si="1"/>
        <v>0.26666666666666666</v>
      </c>
      <c r="Q54" s="2">
        <f t="shared" ca="1" si="2"/>
        <v>28.615819209039547</v>
      </c>
      <c r="R54" s="2">
        <v>5.2439999999999998</v>
      </c>
      <c r="S54" s="2">
        <f t="shared" si="7"/>
        <v>33.633830508474574</v>
      </c>
      <c r="T54" s="2">
        <v>12</v>
      </c>
      <c r="U54" s="2">
        <v>21</v>
      </c>
      <c r="V54" s="2">
        <v>30.333300000000001</v>
      </c>
      <c r="W54" s="2">
        <f t="shared" si="3"/>
        <v>19.078773545487664</v>
      </c>
      <c r="X54" s="2">
        <v>5</v>
      </c>
      <c r="Y54" s="2">
        <f t="shared" si="4"/>
        <v>15.874507866387544</v>
      </c>
      <c r="Z54" s="2">
        <v>25</v>
      </c>
      <c r="AA54" s="2">
        <f t="shared" si="5"/>
        <v>17.320508075688775</v>
      </c>
      <c r="AB54" s="2">
        <f t="shared" si="6"/>
        <v>14.832383490187947</v>
      </c>
      <c r="AC54" s="2">
        <v>42.637999999999998</v>
      </c>
      <c r="AD54" s="2">
        <v>8</v>
      </c>
      <c r="AE54" s="2">
        <v>5</v>
      </c>
      <c r="AF54" s="2">
        <v>5</v>
      </c>
      <c r="AG54" s="2">
        <v>8</v>
      </c>
      <c r="AH54" s="2">
        <v>4</v>
      </c>
      <c r="AI54" t="s">
        <v>40</v>
      </c>
    </row>
    <row r="55" spans="1:35" x14ac:dyDescent="0.3">
      <c r="A55" s="2" t="s">
        <v>35</v>
      </c>
      <c r="B55" s="2" t="s">
        <v>213</v>
      </c>
      <c r="C55" s="2" t="s">
        <v>214</v>
      </c>
      <c r="D55" s="2" t="s">
        <v>43</v>
      </c>
      <c r="E55" s="2" t="s">
        <v>215</v>
      </c>
      <c r="F55" s="2">
        <v>2009</v>
      </c>
      <c r="G55" s="2">
        <v>1</v>
      </c>
      <c r="H55" s="2">
        <v>0</v>
      </c>
      <c r="I55" s="2">
        <v>1</v>
      </c>
      <c r="J55" s="2">
        <v>1</v>
      </c>
      <c r="K55" s="2">
        <v>1</v>
      </c>
      <c r="L55" s="2">
        <f t="shared" ca="1" si="0"/>
        <v>17</v>
      </c>
      <c r="M55" s="2">
        <v>1</v>
      </c>
      <c r="N55" s="2">
        <v>0</v>
      </c>
      <c r="O55" s="2">
        <v>2</v>
      </c>
      <c r="P55" s="2">
        <f t="shared" ca="1" si="1"/>
        <v>5.8823529411764705E-2</v>
      </c>
      <c r="Q55" s="2">
        <f t="shared" ca="1" si="2"/>
        <v>155.88235294117646</v>
      </c>
      <c r="R55" s="2">
        <v>0.33329999999999999</v>
      </c>
      <c r="S55" s="2">
        <f t="shared" si="7"/>
        <v>150.33330000000001</v>
      </c>
      <c r="T55" s="2">
        <v>1</v>
      </c>
      <c r="U55" s="2">
        <v>1</v>
      </c>
      <c r="V55" s="2">
        <v>2</v>
      </c>
      <c r="W55" s="2">
        <f t="shared" si="3"/>
        <v>1.4142135623730951</v>
      </c>
      <c r="X55" s="2">
        <v>1</v>
      </c>
      <c r="Y55" s="2">
        <f t="shared" si="4"/>
        <v>1</v>
      </c>
      <c r="Z55" s="2">
        <v>2</v>
      </c>
      <c r="AA55" s="2">
        <f t="shared" si="5"/>
        <v>1.4142135623730951</v>
      </c>
      <c r="AB55" s="2">
        <f t="shared" si="6"/>
        <v>1</v>
      </c>
      <c r="AC55" s="2">
        <v>1.4141999999999999</v>
      </c>
      <c r="AD55" s="2">
        <v>1</v>
      </c>
      <c r="AE55" s="2">
        <v>0</v>
      </c>
      <c r="AF55" s="2">
        <v>0</v>
      </c>
      <c r="AG55" s="2">
        <v>0</v>
      </c>
      <c r="AH55" s="2">
        <v>1</v>
      </c>
      <c r="AI55" t="s">
        <v>45</v>
      </c>
    </row>
    <row r="56" spans="1:35" x14ac:dyDescent="0.3">
      <c r="A56" s="2" t="s">
        <v>35</v>
      </c>
      <c r="B56" s="2" t="s">
        <v>216</v>
      </c>
      <c r="C56" s="2" t="s">
        <v>217</v>
      </c>
      <c r="D56" s="2" t="s">
        <v>74</v>
      </c>
      <c r="E56" s="2" t="s">
        <v>218</v>
      </c>
      <c r="F56" s="2">
        <v>1992</v>
      </c>
      <c r="G56" s="2">
        <v>99</v>
      </c>
      <c r="H56" s="2">
        <v>70</v>
      </c>
      <c r="I56" s="2">
        <v>17</v>
      </c>
      <c r="J56" s="2">
        <v>7</v>
      </c>
      <c r="K56" s="2">
        <v>20</v>
      </c>
      <c r="L56" s="2">
        <f t="shared" ca="1" si="0"/>
        <v>34</v>
      </c>
      <c r="M56" s="2">
        <v>22</v>
      </c>
      <c r="N56" s="2">
        <v>44</v>
      </c>
      <c r="O56" s="2">
        <v>1648</v>
      </c>
      <c r="P56" s="2">
        <f t="shared" ca="1" si="1"/>
        <v>0.6470588235294118</v>
      </c>
      <c r="Q56" s="2">
        <f t="shared" ca="1" si="2"/>
        <v>25.906120023767084</v>
      </c>
      <c r="R56" s="2">
        <v>11.7265</v>
      </c>
      <c r="S56" s="2">
        <f t="shared" si="7"/>
        <v>36.979025252525254</v>
      </c>
      <c r="T56" s="2">
        <v>22</v>
      </c>
      <c r="U56" s="2">
        <v>38</v>
      </c>
      <c r="V56" s="2">
        <v>55</v>
      </c>
      <c r="W56" s="2">
        <f t="shared" si="3"/>
        <v>34.785054261852174</v>
      </c>
      <c r="X56" s="2">
        <v>7</v>
      </c>
      <c r="Y56" s="2">
        <f t="shared" si="4"/>
        <v>28.913664589601922</v>
      </c>
      <c r="Z56" s="2">
        <v>33</v>
      </c>
      <c r="AA56" s="2">
        <f t="shared" si="5"/>
        <v>26.944387170614959</v>
      </c>
      <c r="AB56" s="2">
        <f t="shared" si="6"/>
        <v>26.944387170614959</v>
      </c>
      <c r="AC56" s="2">
        <v>94.074399999999997</v>
      </c>
      <c r="AD56" s="2">
        <v>11</v>
      </c>
      <c r="AE56" s="2">
        <v>6</v>
      </c>
      <c r="AF56" s="2">
        <v>0</v>
      </c>
      <c r="AG56" s="2">
        <v>18</v>
      </c>
      <c r="AH56" s="2">
        <v>4</v>
      </c>
      <c r="AI56" t="s">
        <v>45</v>
      </c>
    </row>
    <row r="57" spans="1:35" x14ac:dyDescent="0.3">
      <c r="A57" s="2" t="s">
        <v>35</v>
      </c>
      <c r="B57" s="2" t="s">
        <v>219</v>
      </c>
      <c r="C57" s="2" t="s">
        <v>220</v>
      </c>
      <c r="D57" s="2" t="s">
        <v>91</v>
      </c>
      <c r="E57" s="2" t="s">
        <v>221</v>
      </c>
      <c r="F57" s="2">
        <v>1996</v>
      </c>
      <c r="G57" s="2">
        <v>41</v>
      </c>
      <c r="H57" s="2">
        <v>4</v>
      </c>
      <c r="I57" s="2">
        <v>22</v>
      </c>
      <c r="J57" s="2">
        <v>12</v>
      </c>
      <c r="K57" s="2">
        <v>27</v>
      </c>
      <c r="L57" s="2">
        <f t="shared" ca="1" si="0"/>
        <v>30</v>
      </c>
      <c r="M57" s="2">
        <v>12</v>
      </c>
      <c r="N57" s="2">
        <v>15</v>
      </c>
      <c r="O57" s="2">
        <v>435</v>
      </c>
      <c r="P57" s="2">
        <f t="shared" ca="1" si="1"/>
        <v>0.4</v>
      </c>
      <c r="Q57" s="2">
        <f t="shared" ca="1" si="2"/>
        <v>62.195121951219512</v>
      </c>
      <c r="R57" s="2">
        <v>4.718</v>
      </c>
      <c r="S57" s="2">
        <f t="shared" si="7"/>
        <v>65.937512195121954</v>
      </c>
      <c r="T57" s="2">
        <v>12</v>
      </c>
      <c r="U57" s="2">
        <v>20</v>
      </c>
      <c r="V57" s="2">
        <v>28.666699999999999</v>
      </c>
      <c r="W57" s="2">
        <f t="shared" si="3"/>
        <v>18.547247774265593</v>
      </c>
      <c r="X57" s="2">
        <v>4</v>
      </c>
      <c r="Y57" s="2">
        <f t="shared" si="4"/>
        <v>15.491933384829668</v>
      </c>
      <c r="Z57" s="2">
        <v>20.5</v>
      </c>
      <c r="AA57" s="2">
        <f t="shared" si="5"/>
        <v>15.684387141358123</v>
      </c>
      <c r="AB57" s="2">
        <f t="shared" si="6"/>
        <v>14.142149765859504</v>
      </c>
      <c r="AC57" s="2">
        <v>39.661099999999998</v>
      </c>
      <c r="AD57" s="2">
        <v>10</v>
      </c>
      <c r="AE57" s="2">
        <v>7</v>
      </c>
      <c r="AF57" s="2">
        <v>0</v>
      </c>
      <c r="AG57" s="2">
        <v>5</v>
      </c>
      <c r="AH57" s="2">
        <v>7</v>
      </c>
      <c r="AI57" t="s">
        <v>93</v>
      </c>
    </row>
    <row r="58" spans="1:35" x14ac:dyDescent="0.3">
      <c r="A58" s="2" t="s">
        <v>35</v>
      </c>
      <c r="B58" s="2" t="s">
        <v>222</v>
      </c>
      <c r="C58" s="2" t="s">
        <v>223</v>
      </c>
      <c r="D58" s="2" t="s">
        <v>55</v>
      </c>
      <c r="E58" s="2" t="s">
        <v>224</v>
      </c>
      <c r="F58" s="2">
        <v>2003</v>
      </c>
      <c r="G58" s="2">
        <v>51</v>
      </c>
      <c r="H58" s="2">
        <v>1</v>
      </c>
      <c r="I58" s="2">
        <v>50</v>
      </c>
      <c r="J58" s="2">
        <v>50</v>
      </c>
      <c r="K58" s="2">
        <v>50</v>
      </c>
      <c r="L58" s="2">
        <f t="shared" ca="1" si="0"/>
        <v>23</v>
      </c>
      <c r="M58" s="2">
        <v>2</v>
      </c>
      <c r="N58" s="2">
        <v>0</v>
      </c>
      <c r="O58" s="2">
        <v>8</v>
      </c>
      <c r="P58" s="2">
        <f t="shared" ca="1" si="1"/>
        <v>8.6956521739130432E-2</v>
      </c>
      <c r="Q58" s="2">
        <f t="shared" ca="1" si="2"/>
        <v>52.915601023017892</v>
      </c>
      <c r="R58" s="2">
        <v>0.67079999999999995</v>
      </c>
      <c r="S58" s="2">
        <f t="shared" si="7"/>
        <v>53.415898039215683</v>
      </c>
      <c r="T58" s="2">
        <v>2</v>
      </c>
      <c r="U58" s="2">
        <v>2</v>
      </c>
      <c r="V58" s="2">
        <v>2</v>
      </c>
      <c r="W58" s="2">
        <f t="shared" si="3"/>
        <v>2</v>
      </c>
      <c r="X58" s="2">
        <v>1</v>
      </c>
      <c r="Y58" s="2">
        <f t="shared" si="4"/>
        <v>2</v>
      </c>
      <c r="Z58" s="2">
        <v>2</v>
      </c>
      <c r="AA58" s="2">
        <f t="shared" si="5"/>
        <v>2</v>
      </c>
      <c r="AB58" s="2">
        <f t="shared" si="6"/>
        <v>0</v>
      </c>
      <c r="AC58" s="2">
        <v>2.4495</v>
      </c>
      <c r="AD58" s="2">
        <v>2</v>
      </c>
      <c r="AE58" s="2">
        <v>0</v>
      </c>
      <c r="AF58" s="2">
        <v>0</v>
      </c>
      <c r="AG58" s="2">
        <v>0</v>
      </c>
      <c r="AH58" s="2">
        <v>2</v>
      </c>
      <c r="AI58" t="s">
        <v>45</v>
      </c>
    </row>
    <row r="59" spans="1:35" x14ac:dyDescent="0.3">
      <c r="A59" s="2" t="s">
        <v>35</v>
      </c>
      <c r="B59" s="2" t="s">
        <v>225</v>
      </c>
      <c r="C59" s="2" t="s">
        <v>226</v>
      </c>
      <c r="D59" s="2" t="s">
        <v>227</v>
      </c>
      <c r="E59" s="2" t="s">
        <v>228</v>
      </c>
      <c r="F59" s="2">
        <v>2004</v>
      </c>
      <c r="G59" s="2">
        <v>29</v>
      </c>
      <c r="H59" s="2">
        <v>18</v>
      </c>
      <c r="I59" s="2">
        <v>8</v>
      </c>
      <c r="J59" s="2">
        <v>6</v>
      </c>
      <c r="K59" s="2">
        <v>13</v>
      </c>
      <c r="L59" s="2">
        <f t="shared" ca="1" si="0"/>
        <v>22</v>
      </c>
      <c r="M59" s="2">
        <v>12</v>
      </c>
      <c r="N59" s="2">
        <v>12</v>
      </c>
      <c r="O59" s="2">
        <v>613</v>
      </c>
      <c r="P59" s="2">
        <f t="shared" ca="1" si="1"/>
        <v>0.54545454545454541</v>
      </c>
      <c r="Q59" s="2">
        <f t="shared" ca="1" si="2"/>
        <v>59.467084639498431</v>
      </c>
      <c r="R59" s="2">
        <v>6.8128000000000002</v>
      </c>
      <c r="S59" s="2">
        <f t="shared" si="7"/>
        <v>64.399006896551711</v>
      </c>
      <c r="T59" s="2">
        <v>12</v>
      </c>
      <c r="U59" s="2">
        <v>24</v>
      </c>
      <c r="V59" s="2">
        <v>49.666699999999999</v>
      </c>
      <c r="W59" s="2">
        <f t="shared" si="3"/>
        <v>24.413119423785236</v>
      </c>
      <c r="X59" s="2">
        <v>5</v>
      </c>
      <c r="Y59" s="2">
        <f t="shared" si="4"/>
        <v>16.970562748477139</v>
      </c>
      <c r="Z59" s="2">
        <v>23.5</v>
      </c>
      <c r="AA59" s="2">
        <f t="shared" si="5"/>
        <v>16.792855623746664</v>
      </c>
      <c r="AB59" s="2">
        <f t="shared" si="6"/>
        <v>21.260301032675901</v>
      </c>
      <c r="AC59" s="2">
        <v>45.110999999999997</v>
      </c>
      <c r="AD59" s="2">
        <v>8</v>
      </c>
      <c r="AE59" s="2">
        <v>5</v>
      </c>
      <c r="AF59" s="2">
        <v>3</v>
      </c>
      <c r="AG59" s="2">
        <v>5</v>
      </c>
      <c r="AH59" s="2">
        <v>1</v>
      </c>
      <c r="AI59" t="s">
        <v>40</v>
      </c>
    </row>
    <row r="60" spans="1:35" x14ac:dyDescent="0.3">
      <c r="A60" s="2" t="s">
        <v>35</v>
      </c>
      <c r="B60" s="2" t="s">
        <v>229</v>
      </c>
      <c r="C60" s="2" t="s">
        <v>230</v>
      </c>
      <c r="D60" s="2" t="s">
        <v>109</v>
      </c>
      <c r="E60" s="2" t="s">
        <v>231</v>
      </c>
      <c r="F60" s="2">
        <v>2014</v>
      </c>
      <c r="G60" s="2">
        <v>17</v>
      </c>
      <c r="H60" s="2">
        <v>1</v>
      </c>
      <c r="I60" s="2">
        <v>9</v>
      </c>
      <c r="J60" s="2">
        <v>3</v>
      </c>
      <c r="K60" s="2">
        <v>11</v>
      </c>
      <c r="L60" s="2">
        <f t="shared" ca="1" si="0"/>
        <v>12</v>
      </c>
      <c r="M60" s="2">
        <v>7</v>
      </c>
      <c r="N60" s="2">
        <v>6</v>
      </c>
      <c r="O60" s="2">
        <v>195</v>
      </c>
      <c r="P60" s="2">
        <f t="shared" ca="1" si="1"/>
        <v>0.58333333333333337</v>
      </c>
      <c r="Q60" s="2">
        <f t="shared" ca="1" si="2"/>
        <v>76.37254901960786</v>
      </c>
      <c r="R60" s="2">
        <v>4.7256</v>
      </c>
      <c r="S60" s="2">
        <f t="shared" si="7"/>
        <v>77.666776470588246</v>
      </c>
      <c r="T60" s="2">
        <v>7</v>
      </c>
      <c r="U60" s="2">
        <v>13</v>
      </c>
      <c r="V60" s="2">
        <v>26.714300000000001</v>
      </c>
      <c r="W60" s="2">
        <f t="shared" si="3"/>
        <v>13.674797987538975</v>
      </c>
      <c r="X60" s="2">
        <v>4</v>
      </c>
      <c r="Y60" s="2">
        <f t="shared" si="4"/>
        <v>9.5393920141694561</v>
      </c>
      <c r="Z60" s="2">
        <v>19</v>
      </c>
      <c r="AA60" s="2">
        <f t="shared" si="5"/>
        <v>11.532562594670797</v>
      </c>
      <c r="AB60" s="2">
        <f t="shared" si="6"/>
        <v>11.747344380752613</v>
      </c>
      <c r="AC60" s="2">
        <v>23.280899999999999</v>
      </c>
      <c r="AD60" s="2">
        <v>6</v>
      </c>
      <c r="AE60" s="2">
        <v>6</v>
      </c>
      <c r="AF60" s="2">
        <v>1</v>
      </c>
      <c r="AG60" s="2">
        <v>0</v>
      </c>
      <c r="AH60" s="2">
        <v>1</v>
      </c>
      <c r="AI60" t="s">
        <v>93</v>
      </c>
    </row>
    <row r="61" spans="1:35" x14ac:dyDescent="0.3">
      <c r="A61" s="2" t="s">
        <v>35</v>
      </c>
      <c r="B61" s="2" t="s">
        <v>232</v>
      </c>
      <c r="C61" s="2" t="s">
        <v>233</v>
      </c>
      <c r="D61" s="2" t="s">
        <v>99</v>
      </c>
      <c r="E61" s="2" t="s">
        <v>234</v>
      </c>
      <c r="F61" s="2">
        <v>2012</v>
      </c>
      <c r="G61" s="2">
        <v>37</v>
      </c>
      <c r="H61" s="2">
        <v>16</v>
      </c>
      <c r="I61" s="2">
        <v>10</v>
      </c>
      <c r="J61" s="2">
        <v>11</v>
      </c>
      <c r="K61" s="2">
        <v>15</v>
      </c>
      <c r="L61" s="2">
        <f t="shared" ca="1" si="0"/>
        <v>14</v>
      </c>
      <c r="M61" s="2">
        <v>11</v>
      </c>
      <c r="N61" s="2">
        <v>12</v>
      </c>
      <c r="O61" s="2">
        <v>424</v>
      </c>
      <c r="P61" s="2">
        <f t="shared" ca="1" si="1"/>
        <v>0.7857142857142857</v>
      </c>
      <c r="Q61" s="2">
        <f t="shared" ca="1" si="2"/>
        <v>47.799227799227793</v>
      </c>
      <c r="R61" s="2">
        <v>6.4104000000000001</v>
      </c>
      <c r="S61" s="2">
        <f t="shared" si="7"/>
        <v>52.086075675675673</v>
      </c>
      <c r="T61" s="2">
        <v>11</v>
      </c>
      <c r="U61" s="2">
        <v>20</v>
      </c>
      <c r="V61" s="2">
        <v>33.363599999999998</v>
      </c>
      <c r="W61" s="2">
        <f t="shared" si="3"/>
        <v>19.157233620750151</v>
      </c>
      <c r="X61" s="2">
        <v>5</v>
      </c>
      <c r="Y61" s="2">
        <f t="shared" si="4"/>
        <v>14.832396974191326</v>
      </c>
      <c r="Z61" s="2">
        <v>20</v>
      </c>
      <c r="AA61" s="2">
        <f t="shared" si="5"/>
        <v>14.832396974191326</v>
      </c>
      <c r="AB61" s="2">
        <f t="shared" si="6"/>
        <v>15.684374389818677</v>
      </c>
      <c r="AC61" s="2">
        <v>37.815300000000001</v>
      </c>
      <c r="AD61" s="2">
        <v>9</v>
      </c>
      <c r="AE61" s="2">
        <v>4</v>
      </c>
      <c r="AF61" s="2">
        <v>4</v>
      </c>
      <c r="AG61" s="2">
        <v>4</v>
      </c>
      <c r="AH61" s="2">
        <v>5</v>
      </c>
      <c r="AI61" t="s">
        <v>45</v>
      </c>
    </row>
    <row r="62" spans="1:35" x14ac:dyDescent="0.3">
      <c r="A62" s="2" t="s">
        <v>35</v>
      </c>
      <c r="B62" s="2" t="s">
        <v>235</v>
      </c>
      <c r="C62" s="2" t="s">
        <v>236</v>
      </c>
      <c r="D62" s="2" t="s">
        <v>43</v>
      </c>
      <c r="E62" s="2" t="s">
        <v>237</v>
      </c>
      <c r="F62" s="2">
        <v>2008</v>
      </c>
      <c r="G62" s="2">
        <v>19</v>
      </c>
      <c r="H62" s="2">
        <v>0</v>
      </c>
      <c r="I62" s="2">
        <v>19</v>
      </c>
      <c r="J62" s="2">
        <v>18</v>
      </c>
      <c r="K62" s="2">
        <v>19</v>
      </c>
      <c r="L62" s="2">
        <f t="shared" ca="1" si="0"/>
        <v>18</v>
      </c>
      <c r="M62" s="2">
        <v>3</v>
      </c>
      <c r="N62" s="2">
        <v>0</v>
      </c>
      <c r="O62" s="2">
        <v>17</v>
      </c>
      <c r="P62" s="2">
        <f t="shared" ca="1" si="1"/>
        <v>0.16666666666666666</v>
      </c>
      <c r="Q62" s="2">
        <f t="shared" ca="1" si="2"/>
        <v>66.666666666666671</v>
      </c>
      <c r="R62" s="2">
        <v>1.1840999999999999</v>
      </c>
      <c r="S62" s="2">
        <f t="shared" si="7"/>
        <v>66.973573684210535</v>
      </c>
      <c r="T62" s="2">
        <v>3</v>
      </c>
      <c r="U62" s="2">
        <v>4</v>
      </c>
      <c r="V62" s="2">
        <v>5.3333000000000004</v>
      </c>
      <c r="W62" s="2">
        <f t="shared" si="3"/>
        <v>3.9999874999804685</v>
      </c>
      <c r="X62" s="2">
        <v>2</v>
      </c>
      <c r="Y62" s="2">
        <f t="shared" si="4"/>
        <v>3.4641016151377544</v>
      </c>
      <c r="Z62" s="2">
        <v>5</v>
      </c>
      <c r="AA62" s="2">
        <f t="shared" si="5"/>
        <v>3.872983346207417</v>
      </c>
      <c r="AB62" s="2">
        <f t="shared" si="6"/>
        <v>2.6457324127734458</v>
      </c>
      <c r="AC62" s="2">
        <v>5.1962000000000002</v>
      </c>
      <c r="AD62" s="2">
        <v>3</v>
      </c>
      <c r="AE62" s="2">
        <v>1</v>
      </c>
      <c r="AF62" s="2">
        <v>0</v>
      </c>
      <c r="AG62" s="2">
        <v>0</v>
      </c>
      <c r="AH62" s="2">
        <v>3</v>
      </c>
      <c r="AI62" t="s">
        <v>45</v>
      </c>
    </row>
    <row r="63" spans="1:35" x14ac:dyDescent="0.3">
      <c r="A63" s="2" t="s">
        <v>35</v>
      </c>
      <c r="B63" s="2" t="s">
        <v>238</v>
      </c>
      <c r="C63" s="2" t="s">
        <v>239</v>
      </c>
      <c r="D63" s="2" t="s">
        <v>240</v>
      </c>
      <c r="E63" s="2" t="s">
        <v>241</v>
      </c>
      <c r="F63" s="2">
        <v>2012</v>
      </c>
      <c r="G63" s="2">
        <v>29</v>
      </c>
      <c r="H63" s="2">
        <v>0</v>
      </c>
      <c r="I63" s="2">
        <v>14</v>
      </c>
      <c r="J63" s="2">
        <v>6</v>
      </c>
      <c r="K63" s="2">
        <v>14</v>
      </c>
      <c r="L63" s="2">
        <f t="shared" ca="1" si="0"/>
        <v>14</v>
      </c>
      <c r="M63" s="2">
        <v>11</v>
      </c>
      <c r="N63" s="2">
        <v>11</v>
      </c>
      <c r="O63" s="2">
        <v>269</v>
      </c>
      <c r="P63" s="2">
        <f t="shared" ca="1" si="1"/>
        <v>0.7857142857142857</v>
      </c>
      <c r="Q63" s="2">
        <f t="shared" ca="1" si="2"/>
        <v>64.778325123152698</v>
      </c>
      <c r="R63" s="2">
        <v>4.8094000000000001</v>
      </c>
      <c r="S63" s="2">
        <f t="shared" si="7"/>
        <v>66.878365517241377</v>
      </c>
      <c r="T63" s="2">
        <v>11</v>
      </c>
      <c r="U63" s="2">
        <v>16</v>
      </c>
      <c r="V63" s="2">
        <v>21.909099999999999</v>
      </c>
      <c r="W63" s="2">
        <f t="shared" si="3"/>
        <v>15.52417791704282</v>
      </c>
      <c r="X63" s="2">
        <v>4</v>
      </c>
      <c r="Y63" s="2">
        <f t="shared" si="4"/>
        <v>13.266499161421599</v>
      </c>
      <c r="Z63" s="2">
        <v>18</v>
      </c>
      <c r="AA63" s="2">
        <f t="shared" si="5"/>
        <v>14.071247279470288</v>
      </c>
      <c r="AB63" s="2">
        <f t="shared" si="6"/>
        <v>10.954455714457016</v>
      </c>
      <c r="AC63" s="2">
        <v>33.271599999999999</v>
      </c>
      <c r="AD63" s="2">
        <v>9</v>
      </c>
      <c r="AE63" s="2">
        <v>4</v>
      </c>
      <c r="AF63" s="2">
        <v>4</v>
      </c>
      <c r="AG63" s="2">
        <v>1</v>
      </c>
      <c r="AH63" s="2">
        <v>5</v>
      </c>
      <c r="AI63" t="s">
        <v>45</v>
      </c>
    </row>
    <row r="64" spans="1:35" x14ac:dyDescent="0.3">
      <c r="A64" s="2" t="s">
        <v>35</v>
      </c>
      <c r="B64" s="2" t="s">
        <v>242</v>
      </c>
      <c r="C64" s="2" t="s">
        <v>243</v>
      </c>
      <c r="D64" s="2" t="s">
        <v>43</v>
      </c>
      <c r="E64" s="2" t="s">
        <v>244</v>
      </c>
      <c r="F64" s="2">
        <v>2007</v>
      </c>
      <c r="G64" s="2">
        <v>17</v>
      </c>
      <c r="H64" s="2">
        <v>0</v>
      </c>
      <c r="I64" s="2">
        <v>17</v>
      </c>
      <c r="J64" s="2">
        <v>17</v>
      </c>
      <c r="K64" s="2">
        <v>17</v>
      </c>
      <c r="L64" s="2">
        <f t="shared" ca="1" si="0"/>
        <v>19</v>
      </c>
      <c r="M64" s="2">
        <v>1</v>
      </c>
      <c r="N64" s="2">
        <v>0</v>
      </c>
      <c r="O64" s="2">
        <v>4</v>
      </c>
      <c r="P64" s="2">
        <f t="shared" ca="1" si="1"/>
        <v>5.2631578947368418E-2</v>
      </c>
      <c r="Q64" s="2">
        <f t="shared" ca="1" si="2"/>
        <v>56.191950464396285</v>
      </c>
      <c r="R64" s="2">
        <v>0.31619999999999998</v>
      </c>
      <c r="S64" s="2">
        <f t="shared" si="7"/>
        <v>56.19855294117648</v>
      </c>
      <c r="T64" s="2">
        <v>1</v>
      </c>
      <c r="U64" s="2">
        <v>1</v>
      </c>
      <c r="V64" s="2">
        <v>2</v>
      </c>
      <c r="W64" s="2">
        <f t="shared" si="3"/>
        <v>1.4142135623730951</v>
      </c>
      <c r="X64" s="2">
        <v>1</v>
      </c>
      <c r="Y64" s="2">
        <f t="shared" si="4"/>
        <v>1</v>
      </c>
      <c r="Z64" s="2">
        <v>2</v>
      </c>
      <c r="AA64" s="2">
        <f t="shared" si="5"/>
        <v>1.4142135623730951</v>
      </c>
      <c r="AB64" s="2">
        <f t="shared" si="6"/>
        <v>1</v>
      </c>
      <c r="AC64" s="2">
        <v>1.4141999999999999</v>
      </c>
      <c r="AD64" s="2">
        <v>1</v>
      </c>
      <c r="AE64" s="2">
        <v>0</v>
      </c>
      <c r="AF64" s="2">
        <v>0</v>
      </c>
      <c r="AG64" s="2">
        <v>0</v>
      </c>
      <c r="AH64" s="2">
        <v>1</v>
      </c>
      <c r="AI64" t="s">
        <v>45</v>
      </c>
    </row>
    <row r="65" spans="1:35" x14ac:dyDescent="0.3">
      <c r="A65" s="2" t="s">
        <v>35</v>
      </c>
      <c r="B65" s="2" t="s">
        <v>245</v>
      </c>
      <c r="C65" s="2" t="s">
        <v>246</v>
      </c>
      <c r="D65" s="2" t="s">
        <v>38</v>
      </c>
      <c r="E65" s="2" t="s">
        <v>247</v>
      </c>
      <c r="F65" s="2">
        <v>2003</v>
      </c>
      <c r="G65" s="2">
        <v>101</v>
      </c>
      <c r="H65" s="2">
        <v>25</v>
      </c>
      <c r="I65" s="2">
        <v>20</v>
      </c>
      <c r="J65" s="2">
        <v>35</v>
      </c>
      <c r="K65" s="2">
        <v>48</v>
      </c>
      <c r="L65" s="2">
        <f t="shared" ca="1" si="0"/>
        <v>23</v>
      </c>
      <c r="M65" s="2">
        <v>19</v>
      </c>
      <c r="N65" s="2">
        <v>28</v>
      </c>
      <c r="O65" s="2">
        <v>1626</v>
      </c>
      <c r="P65" s="2">
        <f t="shared" ca="1" si="1"/>
        <v>0.82608695652173914</v>
      </c>
      <c r="Q65" s="2">
        <f t="shared" ca="1" si="2"/>
        <v>40.916917778734394</v>
      </c>
      <c r="R65" s="2">
        <v>10.475</v>
      </c>
      <c r="S65" s="2">
        <f t="shared" si="7"/>
        <v>50.574009900990099</v>
      </c>
      <c r="T65" s="2">
        <v>19</v>
      </c>
      <c r="U65" s="2">
        <v>40</v>
      </c>
      <c r="V65" s="2">
        <v>73.789500000000004</v>
      </c>
      <c r="W65" s="2">
        <f t="shared" si="3"/>
        <v>37.443297130461147</v>
      </c>
      <c r="X65" s="2">
        <v>8</v>
      </c>
      <c r="Y65" s="2">
        <f t="shared" si="4"/>
        <v>27.568097504180443</v>
      </c>
      <c r="Z65" s="2">
        <v>47</v>
      </c>
      <c r="AA65" s="2">
        <f t="shared" si="5"/>
        <v>29.883105594967869</v>
      </c>
      <c r="AB65" s="2">
        <f t="shared" si="6"/>
        <v>32.264539358249017</v>
      </c>
      <c r="AC65" s="2">
        <v>90.603499999999997</v>
      </c>
      <c r="AD65" s="2">
        <v>18</v>
      </c>
      <c r="AE65" s="2">
        <v>4</v>
      </c>
      <c r="AF65" s="2">
        <v>2</v>
      </c>
      <c r="AG65" s="2">
        <v>8</v>
      </c>
      <c r="AH65" s="2">
        <v>13</v>
      </c>
      <c r="AI65" t="s">
        <v>40</v>
      </c>
    </row>
    <row r="66" spans="1:35" x14ac:dyDescent="0.3">
      <c r="A66" s="2" t="s">
        <v>35</v>
      </c>
      <c r="B66" s="2" t="s">
        <v>248</v>
      </c>
      <c r="C66" s="2" t="s">
        <v>249</v>
      </c>
      <c r="D66" s="2" t="s">
        <v>99</v>
      </c>
      <c r="E66" s="2" t="s">
        <v>250</v>
      </c>
      <c r="F66" s="2">
        <v>2009</v>
      </c>
      <c r="G66" s="2">
        <v>3</v>
      </c>
      <c r="H66" s="2">
        <v>1</v>
      </c>
      <c r="I66" s="2">
        <v>1</v>
      </c>
      <c r="J66" s="2">
        <v>1</v>
      </c>
      <c r="K66" s="2">
        <v>2</v>
      </c>
      <c r="L66" s="2">
        <f t="shared" ref="L66:L129" ca="1" si="8">IF((YEAR(TODAY())-F66)&lt;=0,1,YEAR(TODAY())-F66)</f>
        <v>17</v>
      </c>
      <c r="M66" s="2">
        <v>2</v>
      </c>
      <c r="N66" s="2">
        <v>1</v>
      </c>
      <c r="O66" s="2">
        <v>34</v>
      </c>
      <c r="P66" s="2">
        <f t="shared" ref="P66:P129" ca="1" si="9">IFERROR(M66/L66,0)</f>
        <v>0.11764705882352941</v>
      </c>
      <c r="Q66" s="2">
        <f t="shared" ref="Q66:Q129" ca="1" si="10">IFERROR((100/G66)*(M66-0.1*H66+0.5*K66+P66),0)</f>
        <v>100.58823529411765</v>
      </c>
      <c r="R66" s="2">
        <v>1.7447999999999999</v>
      </c>
      <c r="S66" s="2">
        <f t="shared" si="7"/>
        <v>98.411466666666669</v>
      </c>
      <c r="T66" s="2">
        <v>2</v>
      </c>
      <c r="U66" s="2">
        <v>3</v>
      </c>
      <c r="V66" s="2">
        <v>17</v>
      </c>
      <c r="W66" s="2">
        <f t="shared" ref="W66:W129" si="11">IFERROR(SQRT(V66*T66),0)</f>
        <v>5.8309518948453007</v>
      </c>
      <c r="X66" s="2">
        <v>2</v>
      </c>
      <c r="Y66" s="2">
        <f t="shared" ref="Y66:Y129" si="12">IFERROR(SQRT(T66*U66),0)</f>
        <v>2.4494897427831779</v>
      </c>
      <c r="Z66" s="2">
        <v>17</v>
      </c>
      <c r="AA66" s="2">
        <f t="shared" ref="AA66:AA129" si="13">IFERROR(SQRT(T66*Z66),0)</f>
        <v>5.8309518948453007</v>
      </c>
      <c r="AB66" s="2">
        <f t="shared" ref="AB66:AB129" si="14">IFERROR(SQRT(MAX(V66*T66-T66^2,0)),0)</f>
        <v>5.4772255750516612</v>
      </c>
      <c r="AC66" s="2">
        <v>6.4806999999999997</v>
      </c>
      <c r="AD66" s="2">
        <v>2</v>
      </c>
      <c r="AE66" s="2">
        <v>1</v>
      </c>
      <c r="AF66" s="2">
        <v>0</v>
      </c>
      <c r="AG66" s="2">
        <v>0</v>
      </c>
      <c r="AH66" s="2">
        <v>1</v>
      </c>
      <c r="AI66" t="s">
        <v>45</v>
      </c>
    </row>
    <row r="67" spans="1:35" x14ac:dyDescent="0.3">
      <c r="A67" s="2" t="s">
        <v>35</v>
      </c>
      <c r="B67" s="2" t="s">
        <v>251</v>
      </c>
      <c r="C67" s="2" t="s">
        <v>252</v>
      </c>
      <c r="D67" s="2" t="s">
        <v>187</v>
      </c>
      <c r="E67" s="2" t="s">
        <v>253</v>
      </c>
      <c r="F67" s="2">
        <v>2017</v>
      </c>
      <c r="G67" s="2">
        <v>3</v>
      </c>
      <c r="H67" s="2">
        <v>1</v>
      </c>
      <c r="I67" s="2">
        <v>2</v>
      </c>
      <c r="J67" s="2">
        <v>2</v>
      </c>
      <c r="K67" s="2">
        <v>3</v>
      </c>
      <c r="L67" s="2">
        <f t="shared" ca="1" si="8"/>
        <v>9</v>
      </c>
      <c r="M67" s="2">
        <v>2</v>
      </c>
      <c r="N67" s="2">
        <v>1</v>
      </c>
      <c r="O67" s="2">
        <v>52</v>
      </c>
      <c r="P67" s="2">
        <f t="shared" ca="1" si="9"/>
        <v>0.22222222222222221</v>
      </c>
      <c r="Q67" s="2">
        <f t="shared" ca="1" si="10"/>
        <v>120.74074074074075</v>
      </c>
      <c r="R67" s="2">
        <v>4.8061999999999996</v>
      </c>
      <c r="S67" s="2">
        <f t="shared" ref="S67:S130" si="15">IFERROR((100/G67)*(M67-0.1*H67+0.5*K67)+R67,0)</f>
        <v>118.13953333333335</v>
      </c>
      <c r="T67" s="2">
        <v>2</v>
      </c>
      <c r="U67" s="2">
        <v>3</v>
      </c>
      <c r="V67" s="2">
        <v>25.5</v>
      </c>
      <c r="W67" s="2">
        <f t="shared" si="11"/>
        <v>7.1414284285428504</v>
      </c>
      <c r="X67" s="2">
        <v>2</v>
      </c>
      <c r="Y67" s="2">
        <f t="shared" si="12"/>
        <v>2.4494897427831779</v>
      </c>
      <c r="Z67" s="2">
        <v>25.5</v>
      </c>
      <c r="AA67" s="2">
        <f t="shared" si="13"/>
        <v>7.1414284285428504</v>
      </c>
      <c r="AB67" s="2">
        <f t="shared" si="14"/>
        <v>6.8556546004010439</v>
      </c>
      <c r="AC67" s="2">
        <v>7.5498000000000003</v>
      </c>
      <c r="AD67" s="2">
        <v>2</v>
      </c>
      <c r="AE67" s="2">
        <v>1</v>
      </c>
      <c r="AF67" s="2">
        <v>0</v>
      </c>
      <c r="AG67" s="2">
        <v>0</v>
      </c>
      <c r="AH67" s="2">
        <v>2</v>
      </c>
      <c r="AI67" t="s">
        <v>45</v>
      </c>
    </row>
    <row r="68" spans="1:35" x14ac:dyDescent="0.3">
      <c r="A68" s="2" t="s">
        <v>35</v>
      </c>
      <c r="B68" s="2" t="s">
        <v>254</v>
      </c>
      <c r="C68" s="2" t="s">
        <v>255</v>
      </c>
      <c r="D68" s="2" t="s">
        <v>55</v>
      </c>
      <c r="E68" s="2" t="s">
        <v>256</v>
      </c>
      <c r="F68" s="2">
        <v>1962</v>
      </c>
      <c r="G68" s="2">
        <v>44</v>
      </c>
      <c r="H68" s="2">
        <v>1</v>
      </c>
      <c r="I68" s="2">
        <v>43</v>
      </c>
      <c r="J68" s="2">
        <v>42</v>
      </c>
      <c r="K68" s="2">
        <v>43</v>
      </c>
      <c r="L68" s="2">
        <f t="shared" ca="1" si="8"/>
        <v>64</v>
      </c>
      <c r="M68" s="2">
        <v>3</v>
      </c>
      <c r="N68" s="2">
        <v>1</v>
      </c>
      <c r="O68" s="2">
        <v>41</v>
      </c>
      <c r="P68" s="2">
        <f t="shared" ca="1" si="9"/>
        <v>4.6875E-2</v>
      </c>
      <c r="Q68" s="2">
        <f t="shared" ca="1" si="10"/>
        <v>55.561079545454547</v>
      </c>
      <c r="R68" s="2">
        <v>0.93989999999999996</v>
      </c>
      <c r="S68" s="2">
        <f t="shared" si="15"/>
        <v>56.394445454545455</v>
      </c>
      <c r="T68" s="2">
        <v>3</v>
      </c>
      <c r="U68" s="2">
        <v>5</v>
      </c>
      <c r="V68" s="2">
        <v>9.6667000000000005</v>
      </c>
      <c r="W68" s="2">
        <f t="shared" si="11"/>
        <v>5.3851740918934095</v>
      </c>
      <c r="X68" s="2">
        <v>2</v>
      </c>
      <c r="Y68" s="2">
        <f t="shared" si="12"/>
        <v>3.872983346207417</v>
      </c>
      <c r="Z68" s="2">
        <v>4</v>
      </c>
      <c r="AA68" s="2">
        <f t="shared" si="13"/>
        <v>3.4641016151377544</v>
      </c>
      <c r="AB68" s="2">
        <f t="shared" si="14"/>
        <v>4.4721471353254918</v>
      </c>
      <c r="AC68" s="2">
        <v>6.4031000000000002</v>
      </c>
      <c r="AD68" s="2">
        <v>3</v>
      </c>
      <c r="AE68" s="2">
        <v>0</v>
      </c>
      <c r="AF68" s="2">
        <v>0</v>
      </c>
      <c r="AG68" s="2">
        <v>0</v>
      </c>
      <c r="AH68" s="2">
        <v>3</v>
      </c>
      <c r="AI68" t="s">
        <v>45</v>
      </c>
    </row>
    <row r="69" spans="1:35" x14ac:dyDescent="0.3">
      <c r="A69" s="2" t="s">
        <v>35</v>
      </c>
      <c r="B69" s="2" t="s">
        <v>257</v>
      </c>
      <c r="C69" s="2" t="s">
        <v>258</v>
      </c>
      <c r="D69" s="2" t="s">
        <v>55</v>
      </c>
      <c r="E69" s="2" t="s">
        <v>259</v>
      </c>
      <c r="F69" s="2">
        <v>2013</v>
      </c>
      <c r="G69" s="2">
        <v>1</v>
      </c>
      <c r="H69" s="2">
        <v>0</v>
      </c>
      <c r="I69" s="2">
        <v>1</v>
      </c>
      <c r="J69" s="2">
        <v>1</v>
      </c>
      <c r="K69" s="2">
        <v>1</v>
      </c>
      <c r="L69" s="2">
        <f t="shared" ca="1" si="8"/>
        <v>13</v>
      </c>
      <c r="M69" s="2">
        <v>1</v>
      </c>
      <c r="N69" s="2">
        <v>0</v>
      </c>
      <c r="O69" s="2">
        <v>2</v>
      </c>
      <c r="P69" s="2">
        <f t="shared" ca="1" si="9"/>
        <v>7.6923076923076927E-2</v>
      </c>
      <c r="Q69" s="2">
        <f t="shared" ca="1" si="10"/>
        <v>157.69230769230768</v>
      </c>
      <c r="R69" s="2">
        <v>0.378</v>
      </c>
      <c r="S69" s="2">
        <f t="shared" si="15"/>
        <v>150.37799999999999</v>
      </c>
      <c r="T69" s="2">
        <v>1</v>
      </c>
      <c r="U69" s="2">
        <v>1</v>
      </c>
      <c r="V69" s="2">
        <v>2</v>
      </c>
      <c r="W69" s="2">
        <f t="shared" si="11"/>
        <v>1.4142135623730951</v>
      </c>
      <c r="X69" s="2">
        <v>1</v>
      </c>
      <c r="Y69" s="2">
        <f t="shared" si="12"/>
        <v>1</v>
      </c>
      <c r="Z69" s="2">
        <v>2</v>
      </c>
      <c r="AA69" s="2">
        <f t="shared" si="13"/>
        <v>1.4142135623730951</v>
      </c>
      <c r="AB69" s="2">
        <f t="shared" si="14"/>
        <v>1</v>
      </c>
      <c r="AC69" s="2">
        <v>1.4141999999999999</v>
      </c>
      <c r="AD69" s="2">
        <v>1</v>
      </c>
      <c r="AE69" s="2">
        <v>0</v>
      </c>
      <c r="AF69" s="2">
        <v>0</v>
      </c>
      <c r="AG69" s="2">
        <v>0</v>
      </c>
      <c r="AH69" s="2">
        <v>1</v>
      </c>
      <c r="AI69" t="s">
        <v>45</v>
      </c>
    </row>
    <row r="70" spans="1:35" x14ac:dyDescent="0.3">
      <c r="A70" s="2" t="s">
        <v>35</v>
      </c>
      <c r="B70" s="2" t="s">
        <v>260</v>
      </c>
      <c r="C70" s="2" t="s">
        <v>261</v>
      </c>
      <c r="D70" s="2" t="s">
        <v>67</v>
      </c>
      <c r="E70" s="2" t="s">
        <v>262</v>
      </c>
      <c r="F70" s="2">
        <v>2012</v>
      </c>
      <c r="G70" s="2">
        <v>6</v>
      </c>
      <c r="H70" s="2">
        <v>3</v>
      </c>
      <c r="I70" s="2">
        <v>0</v>
      </c>
      <c r="J70" s="2">
        <v>0</v>
      </c>
      <c r="K70" s="2">
        <v>0</v>
      </c>
      <c r="L70" s="2">
        <f t="shared" ca="1" si="8"/>
        <v>14</v>
      </c>
      <c r="M70" s="2">
        <v>4</v>
      </c>
      <c r="N70" s="2">
        <v>4</v>
      </c>
      <c r="O70" s="2">
        <v>69</v>
      </c>
      <c r="P70" s="2">
        <f t="shared" ca="1" si="9"/>
        <v>0.2857142857142857</v>
      </c>
      <c r="Q70" s="2">
        <f t="shared" ca="1" si="10"/>
        <v>66.428571428571431</v>
      </c>
      <c r="R70" s="2">
        <v>2.2986</v>
      </c>
      <c r="S70" s="2">
        <f t="shared" si="15"/>
        <v>63.965266666666672</v>
      </c>
      <c r="T70" s="2">
        <v>4</v>
      </c>
      <c r="U70" s="2">
        <v>6</v>
      </c>
      <c r="V70" s="2">
        <v>17</v>
      </c>
      <c r="W70" s="2">
        <f t="shared" si="11"/>
        <v>8.2462112512353212</v>
      </c>
      <c r="X70" s="2">
        <v>3</v>
      </c>
      <c r="Y70" s="2">
        <f t="shared" si="12"/>
        <v>4.8989794855663558</v>
      </c>
      <c r="Z70" s="2">
        <v>16.5</v>
      </c>
      <c r="AA70" s="2">
        <f t="shared" si="13"/>
        <v>8.1240384046359608</v>
      </c>
      <c r="AB70" s="2">
        <f t="shared" si="14"/>
        <v>7.2111025509279782</v>
      </c>
      <c r="AC70" s="2">
        <v>12.609500000000001</v>
      </c>
      <c r="AD70" s="2">
        <v>4</v>
      </c>
      <c r="AE70" s="2">
        <v>0</v>
      </c>
      <c r="AF70" s="2">
        <v>3</v>
      </c>
      <c r="AG70" s="2">
        <v>1</v>
      </c>
      <c r="AH70" s="2">
        <v>0</v>
      </c>
      <c r="AI70" t="s">
        <v>40</v>
      </c>
    </row>
    <row r="71" spans="1:35" x14ac:dyDescent="0.3">
      <c r="A71" s="2" t="s">
        <v>35</v>
      </c>
      <c r="B71" s="2" t="s">
        <v>263</v>
      </c>
      <c r="C71" s="2" t="s">
        <v>264</v>
      </c>
      <c r="D71" s="2" t="s">
        <v>128</v>
      </c>
      <c r="E71" s="2" t="s">
        <v>265</v>
      </c>
      <c r="F71" s="2">
        <v>2012</v>
      </c>
      <c r="G71" s="2">
        <v>11</v>
      </c>
      <c r="H71" s="2">
        <v>0</v>
      </c>
      <c r="I71" s="2">
        <v>4</v>
      </c>
      <c r="J71" s="2">
        <v>5</v>
      </c>
      <c r="K71" s="2">
        <v>5</v>
      </c>
      <c r="L71" s="2">
        <f t="shared" ca="1" si="8"/>
        <v>14</v>
      </c>
      <c r="M71" s="2">
        <v>3</v>
      </c>
      <c r="N71" s="2">
        <v>2</v>
      </c>
      <c r="O71" s="2">
        <v>55</v>
      </c>
      <c r="P71" s="2">
        <f t="shared" ca="1" si="9"/>
        <v>0.21428571428571427</v>
      </c>
      <c r="Q71" s="2">
        <f t="shared" ca="1" si="10"/>
        <v>51.948051948051955</v>
      </c>
      <c r="R71" s="2">
        <v>3.0381999999999998</v>
      </c>
      <c r="S71" s="2">
        <f t="shared" si="15"/>
        <v>53.038200000000003</v>
      </c>
      <c r="T71" s="2">
        <v>3</v>
      </c>
      <c r="U71" s="2">
        <v>7</v>
      </c>
      <c r="V71" s="2">
        <v>16</v>
      </c>
      <c r="W71" s="2">
        <f t="shared" si="11"/>
        <v>6.9282032302755088</v>
      </c>
      <c r="X71" s="2">
        <v>2</v>
      </c>
      <c r="Y71" s="2">
        <f t="shared" si="12"/>
        <v>4.5825756949558398</v>
      </c>
      <c r="Z71" s="2">
        <v>10</v>
      </c>
      <c r="AA71" s="2">
        <f t="shared" si="13"/>
        <v>5.4772255750516612</v>
      </c>
      <c r="AB71" s="2">
        <f t="shared" si="14"/>
        <v>6.2449979983983983</v>
      </c>
      <c r="AC71" s="2">
        <v>8</v>
      </c>
      <c r="AD71" s="2">
        <v>3</v>
      </c>
      <c r="AE71" s="2">
        <v>0</v>
      </c>
      <c r="AF71" s="2">
        <v>2</v>
      </c>
      <c r="AG71" s="2">
        <v>1</v>
      </c>
      <c r="AH71" s="2">
        <v>2</v>
      </c>
      <c r="AI71" t="s">
        <v>45</v>
      </c>
    </row>
    <row r="72" spans="1:35" x14ac:dyDescent="0.3">
      <c r="A72" s="2" t="s">
        <v>35</v>
      </c>
      <c r="B72" s="2" t="s">
        <v>266</v>
      </c>
      <c r="C72" s="2" t="s">
        <v>267</v>
      </c>
      <c r="D72" s="2" t="s">
        <v>91</v>
      </c>
      <c r="E72" s="2" t="s">
        <v>268</v>
      </c>
      <c r="F72" s="2">
        <v>1971</v>
      </c>
      <c r="G72" s="2">
        <v>401</v>
      </c>
      <c r="H72" s="2">
        <v>119</v>
      </c>
      <c r="I72" s="2">
        <v>75</v>
      </c>
      <c r="J72" s="2">
        <v>38</v>
      </c>
      <c r="K72" s="2">
        <v>89</v>
      </c>
      <c r="L72" s="2">
        <f t="shared" ca="1" si="8"/>
        <v>55</v>
      </c>
      <c r="M72" s="2">
        <v>37</v>
      </c>
      <c r="N72" s="2">
        <v>129</v>
      </c>
      <c r="O72" s="2">
        <v>6566</v>
      </c>
      <c r="P72" s="2">
        <f t="shared" ca="1" si="9"/>
        <v>0.67272727272727273</v>
      </c>
      <c r="Q72" s="2">
        <f t="shared" ca="1" si="10"/>
        <v>17.52437089095443</v>
      </c>
      <c r="R72" s="2">
        <v>17.714200000000002</v>
      </c>
      <c r="S72" s="2">
        <f t="shared" si="15"/>
        <v>35.070808478802995</v>
      </c>
      <c r="T72" s="2">
        <v>37</v>
      </c>
      <c r="U72" s="2">
        <v>71</v>
      </c>
      <c r="V72" s="2">
        <v>109.973</v>
      </c>
      <c r="W72" s="2">
        <f t="shared" si="11"/>
        <v>63.788721573644978</v>
      </c>
      <c r="X72" s="2">
        <v>10</v>
      </c>
      <c r="Y72" s="2">
        <f t="shared" si="12"/>
        <v>51.254268114957995</v>
      </c>
      <c r="Z72" s="2">
        <v>75</v>
      </c>
      <c r="AA72" s="2">
        <f t="shared" si="13"/>
        <v>52.678268764263692</v>
      </c>
      <c r="AB72" s="2">
        <f t="shared" si="14"/>
        <v>51.961533849569911</v>
      </c>
      <c r="AC72" s="2">
        <v>216.89400000000001</v>
      </c>
      <c r="AD72" s="2">
        <v>25</v>
      </c>
      <c r="AE72" s="2">
        <v>16</v>
      </c>
      <c r="AF72" s="2">
        <v>18</v>
      </c>
      <c r="AG72" s="2">
        <v>29</v>
      </c>
      <c r="AH72" s="2">
        <v>9</v>
      </c>
      <c r="AI72" t="s">
        <v>93</v>
      </c>
    </row>
    <row r="73" spans="1:35" x14ac:dyDescent="0.3">
      <c r="A73" s="2" t="s">
        <v>35</v>
      </c>
      <c r="B73" s="2" t="s">
        <v>269</v>
      </c>
      <c r="C73" s="2" t="s">
        <v>270</v>
      </c>
      <c r="D73" s="2" t="s">
        <v>109</v>
      </c>
      <c r="E73" s="2" t="s">
        <v>271</v>
      </c>
      <c r="F73" s="2">
        <v>2010</v>
      </c>
      <c r="G73" s="2">
        <v>80</v>
      </c>
      <c r="H73" s="2">
        <v>1</v>
      </c>
      <c r="I73" s="2">
        <v>11</v>
      </c>
      <c r="J73" s="2">
        <v>14</v>
      </c>
      <c r="K73" s="2">
        <v>23</v>
      </c>
      <c r="L73" s="2">
        <f t="shared" ca="1" si="8"/>
        <v>16</v>
      </c>
      <c r="M73" s="2">
        <v>11</v>
      </c>
      <c r="N73" s="2">
        <v>14</v>
      </c>
      <c r="O73" s="2">
        <v>690</v>
      </c>
      <c r="P73" s="2">
        <f t="shared" ca="1" si="9"/>
        <v>0.6875</v>
      </c>
      <c r="Q73" s="2">
        <f t="shared" ca="1" si="10"/>
        <v>28.859375</v>
      </c>
      <c r="R73" s="2">
        <v>8.7452000000000005</v>
      </c>
      <c r="S73" s="2">
        <f t="shared" si="15"/>
        <v>36.745199999999997</v>
      </c>
      <c r="T73" s="2">
        <v>12</v>
      </c>
      <c r="U73" s="2">
        <v>24</v>
      </c>
      <c r="V73" s="2">
        <v>43.75</v>
      </c>
      <c r="W73" s="2">
        <f t="shared" si="11"/>
        <v>22.912878474779198</v>
      </c>
      <c r="X73" s="2">
        <v>5</v>
      </c>
      <c r="Y73" s="2">
        <f t="shared" si="12"/>
        <v>16.970562748477139</v>
      </c>
      <c r="Z73" s="2">
        <v>26</v>
      </c>
      <c r="AA73" s="2">
        <f t="shared" si="13"/>
        <v>17.663521732655695</v>
      </c>
      <c r="AB73" s="2">
        <f t="shared" si="14"/>
        <v>19.519221295943137</v>
      </c>
      <c r="AC73" s="2">
        <v>42.755099999999999</v>
      </c>
      <c r="AD73" s="2">
        <v>9</v>
      </c>
      <c r="AE73" s="2">
        <v>4</v>
      </c>
      <c r="AF73" s="2">
        <v>8</v>
      </c>
      <c r="AG73" s="2">
        <v>4</v>
      </c>
      <c r="AH73" s="2">
        <v>6</v>
      </c>
      <c r="AI73" t="s">
        <v>93</v>
      </c>
    </row>
    <row r="74" spans="1:35" x14ac:dyDescent="0.3">
      <c r="A74" s="2" t="s">
        <v>35</v>
      </c>
      <c r="B74" s="2" t="s">
        <v>272</v>
      </c>
      <c r="C74" s="2" t="s">
        <v>273</v>
      </c>
      <c r="D74" s="2" t="s">
        <v>55</v>
      </c>
      <c r="E74" s="2" t="s">
        <v>274</v>
      </c>
      <c r="F74" s="2">
        <v>2007</v>
      </c>
      <c r="G74" s="2">
        <v>18</v>
      </c>
      <c r="H74" s="2">
        <v>0</v>
      </c>
      <c r="I74" s="2">
        <v>17</v>
      </c>
      <c r="J74" s="2">
        <v>16</v>
      </c>
      <c r="K74" s="2">
        <v>17</v>
      </c>
      <c r="L74" s="2">
        <f t="shared" ca="1" si="8"/>
        <v>19</v>
      </c>
      <c r="M74" s="2">
        <v>2</v>
      </c>
      <c r="N74" s="2">
        <v>0</v>
      </c>
      <c r="O74" s="2">
        <v>11</v>
      </c>
      <c r="P74" s="2">
        <f t="shared" ca="1" si="9"/>
        <v>0.10526315789473684</v>
      </c>
      <c r="Q74" s="2">
        <f t="shared" ca="1" si="10"/>
        <v>58.918128654970758</v>
      </c>
      <c r="R74" s="2">
        <v>1.0284</v>
      </c>
      <c r="S74" s="2">
        <f t="shared" si="15"/>
        <v>59.361733333333326</v>
      </c>
      <c r="T74" s="2">
        <v>2</v>
      </c>
      <c r="U74" s="2">
        <v>3</v>
      </c>
      <c r="V74" s="2">
        <v>3.5</v>
      </c>
      <c r="W74" s="2">
        <f t="shared" si="11"/>
        <v>2.6457513110645907</v>
      </c>
      <c r="X74" s="2">
        <v>1</v>
      </c>
      <c r="Y74" s="2">
        <f t="shared" si="12"/>
        <v>2.4494897427831779</v>
      </c>
      <c r="Z74" s="2">
        <v>3.5</v>
      </c>
      <c r="AA74" s="2">
        <f t="shared" si="13"/>
        <v>2.6457513110645907</v>
      </c>
      <c r="AB74" s="2">
        <f t="shared" si="14"/>
        <v>1.7320508075688772</v>
      </c>
      <c r="AC74" s="2">
        <v>3.1623000000000001</v>
      </c>
      <c r="AD74" s="2">
        <v>2</v>
      </c>
      <c r="AE74" s="2">
        <v>0</v>
      </c>
      <c r="AF74" s="2">
        <v>1</v>
      </c>
      <c r="AG74" s="2">
        <v>0</v>
      </c>
      <c r="AH74" s="2">
        <v>2</v>
      </c>
      <c r="AI74" t="s">
        <v>45</v>
      </c>
    </row>
    <row r="75" spans="1:35" x14ac:dyDescent="0.3">
      <c r="A75" s="2" t="s">
        <v>35</v>
      </c>
      <c r="B75" s="2" t="s">
        <v>275</v>
      </c>
      <c r="C75" s="2" t="s">
        <v>276</v>
      </c>
      <c r="D75" s="2" t="s">
        <v>277</v>
      </c>
      <c r="E75" s="2" t="s">
        <v>278</v>
      </c>
      <c r="F75" s="2">
        <v>1993</v>
      </c>
      <c r="G75" s="2">
        <v>72</v>
      </c>
      <c r="H75" s="2">
        <v>26</v>
      </c>
      <c r="I75" s="2">
        <v>14</v>
      </c>
      <c r="J75" s="2">
        <v>17</v>
      </c>
      <c r="K75" s="2">
        <v>31</v>
      </c>
      <c r="L75" s="2">
        <f t="shared" ca="1" si="8"/>
        <v>33</v>
      </c>
      <c r="M75" s="2">
        <v>32</v>
      </c>
      <c r="N75" s="2">
        <v>46</v>
      </c>
      <c r="O75" s="2">
        <v>3421</v>
      </c>
      <c r="P75" s="2">
        <f t="shared" ca="1" si="9"/>
        <v>0.96969696969696972</v>
      </c>
      <c r="Q75" s="2">
        <f t="shared" ca="1" si="10"/>
        <v>63.70791245791245</v>
      </c>
      <c r="R75" s="2">
        <v>11.9709</v>
      </c>
      <c r="S75" s="2">
        <f t="shared" si="15"/>
        <v>74.332011111111115</v>
      </c>
      <c r="T75" s="2">
        <v>31</v>
      </c>
      <c r="U75" s="2">
        <v>57</v>
      </c>
      <c r="V75" s="2">
        <v>98.161299999999997</v>
      </c>
      <c r="W75" s="2">
        <f t="shared" si="11"/>
        <v>55.163396378395696</v>
      </c>
      <c r="X75" s="2">
        <v>9</v>
      </c>
      <c r="Y75" s="2">
        <f t="shared" si="12"/>
        <v>42.035699113967404</v>
      </c>
      <c r="Z75" s="2">
        <v>64</v>
      </c>
      <c r="AA75" s="2">
        <f t="shared" si="13"/>
        <v>44.542114902640172</v>
      </c>
      <c r="AB75" s="2">
        <f t="shared" si="14"/>
        <v>45.628941473586693</v>
      </c>
      <c r="AC75" s="2">
        <v>177.2851</v>
      </c>
      <c r="AD75" s="2">
        <v>21</v>
      </c>
      <c r="AE75" s="2">
        <v>8</v>
      </c>
      <c r="AF75" s="2">
        <v>0</v>
      </c>
      <c r="AG75" s="2">
        <v>22</v>
      </c>
      <c r="AH75" s="2">
        <v>11</v>
      </c>
      <c r="AI75" t="s">
        <v>40</v>
      </c>
    </row>
    <row r="76" spans="1:35" x14ac:dyDescent="0.3">
      <c r="A76" s="2" t="s">
        <v>35</v>
      </c>
      <c r="B76" s="2" t="s">
        <v>279</v>
      </c>
      <c r="C76" s="2" t="s">
        <v>280</v>
      </c>
      <c r="D76" s="2" t="s">
        <v>55</v>
      </c>
      <c r="E76" s="2" t="s">
        <v>281</v>
      </c>
      <c r="F76" s="2">
        <v>2000</v>
      </c>
      <c r="G76" s="2">
        <v>24</v>
      </c>
      <c r="H76" s="2">
        <v>0</v>
      </c>
      <c r="I76" s="2">
        <v>23</v>
      </c>
      <c r="J76" s="2">
        <v>23</v>
      </c>
      <c r="K76" s="2">
        <v>23</v>
      </c>
      <c r="L76" s="2">
        <f t="shared" ca="1" si="8"/>
        <v>26</v>
      </c>
      <c r="M76" s="2">
        <v>3</v>
      </c>
      <c r="N76" s="2">
        <v>1</v>
      </c>
      <c r="O76" s="2">
        <v>40</v>
      </c>
      <c r="P76" s="2">
        <f t="shared" ca="1" si="9"/>
        <v>0.11538461538461539</v>
      </c>
      <c r="Q76" s="2">
        <f t="shared" ca="1" si="10"/>
        <v>60.897435897435898</v>
      </c>
      <c r="R76" s="2">
        <v>1.7423999999999999</v>
      </c>
      <c r="S76" s="2">
        <f t="shared" si="15"/>
        <v>62.159066666666675</v>
      </c>
      <c r="T76" s="2">
        <v>3</v>
      </c>
      <c r="U76" s="2">
        <v>6</v>
      </c>
      <c r="V76" s="2">
        <v>10.666700000000001</v>
      </c>
      <c r="W76" s="2">
        <f t="shared" si="11"/>
        <v>5.6568630883202404</v>
      </c>
      <c r="X76" s="2">
        <v>2</v>
      </c>
      <c r="Y76" s="2">
        <f t="shared" si="12"/>
        <v>4.2426406871192848</v>
      </c>
      <c r="Z76" s="2">
        <v>6</v>
      </c>
      <c r="AA76" s="2">
        <f t="shared" si="13"/>
        <v>4.2426406871192848</v>
      </c>
      <c r="AB76" s="2">
        <f t="shared" si="14"/>
        <v>4.7958419490220905</v>
      </c>
      <c r="AC76" s="2">
        <v>6.6332000000000004</v>
      </c>
      <c r="AD76" s="2">
        <v>3</v>
      </c>
      <c r="AE76" s="2">
        <v>0</v>
      </c>
      <c r="AF76" s="2">
        <v>0</v>
      </c>
      <c r="AG76" s="2">
        <v>1</v>
      </c>
      <c r="AH76" s="2">
        <v>3</v>
      </c>
      <c r="AI76" t="s">
        <v>45</v>
      </c>
    </row>
    <row r="77" spans="1:35" x14ac:dyDescent="0.3">
      <c r="A77" s="2" t="s">
        <v>35</v>
      </c>
      <c r="B77" s="2" t="s">
        <v>282</v>
      </c>
      <c r="C77" s="2" t="s">
        <v>283</v>
      </c>
      <c r="D77" s="2" t="s">
        <v>91</v>
      </c>
      <c r="E77" s="2" t="s">
        <v>284</v>
      </c>
      <c r="F77" s="2">
        <v>2016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f t="shared" ca="1" si="8"/>
        <v>10</v>
      </c>
      <c r="M77" s="2">
        <v>1</v>
      </c>
      <c r="N77" s="2">
        <v>0</v>
      </c>
      <c r="O77" s="2">
        <v>1</v>
      </c>
      <c r="P77" s="2">
        <f t="shared" ca="1" si="9"/>
        <v>0.1</v>
      </c>
      <c r="Q77" s="2">
        <f t="shared" ca="1" si="10"/>
        <v>110.00000000000001</v>
      </c>
      <c r="R77" s="2">
        <v>0.30149999999999999</v>
      </c>
      <c r="S77" s="2">
        <f t="shared" si="15"/>
        <v>100.3015</v>
      </c>
      <c r="T77" s="2">
        <v>1</v>
      </c>
      <c r="U77" s="2">
        <v>1</v>
      </c>
      <c r="V77" s="2">
        <v>1</v>
      </c>
      <c r="W77" s="2">
        <f t="shared" si="11"/>
        <v>1</v>
      </c>
      <c r="X77" s="2">
        <v>1</v>
      </c>
      <c r="Y77" s="2">
        <f t="shared" si="12"/>
        <v>1</v>
      </c>
      <c r="Z77" s="2">
        <v>1</v>
      </c>
      <c r="AA77" s="2">
        <f t="shared" si="13"/>
        <v>1</v>
      </c>
      <c r="AB77" s="2">
        <f t="shared" si="14"/>
        <v>0</v>
      </c>
      <c r="AC77" s="2">
        <v>1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t="s">
        <v>93</v>
      </c>
    </row>
    <row r="78" spans="1:35" x14ac:dyDescent="0.3">
      <c r="A78" s="2" t="s">
        <v>35</v>
      </c>
      <c r="B78" s="2" t="s">
        <v>285</v>
      </c>
      <c r="C78" s="2" t="s">
        <v>286</v>
      </c>
      <c r="D78" s="2" t="s">
        <v>287</v>
      </c>
      <c r="E78" s="2" t="s">
        <v>288</v>
      </c>
      <c r="F78" s="2">
        <v>1949</v>
      </c>
      <c r="G78" s="2">
        <v>32</v>
      </c>
      <c r="H78" s="2">
        <v>0</v>
      </c>
      <c r="I78" s="2">
        <v>18</v>
      </c>
      <c r="J78" s="2">
        <v>17</v>
      </c>
      <c r="K78" s="2">
        <v>19</v>
      </c>
      <c r="L78" s="2">
        <f t="shared" ca="1" si="8"/>
        <v>77</v>
      </c>
      <c r="M78" s="2">
        <v>2</v>
      </c>
      <c r="N78" s="2">
        <v>0</v>
      </c>
      <c r="O78" s="2">
        <v>13</v>
      </c>
      <c r="P78" s="2">
        <f t="shared" ca="1" si="9"/>
        <v>2.5974025974025976E-2</v>
      </c>
      <c r="Q78" s="2">
        <f t="shared" ca="1" si="10"/>
        <v>36.018668831168831</v>
      </c>
      <c r="R78" s="2">
        <v>0.71619999999999995</v>
      </c>
      <c r="S78" s="2">
        <f t="shared" si="15"/>
        <v>36.653700000000001</v>
      </c>
      <c r="T78" s="2">
        <v>2</v>
      </c>
      <c r="U78" s="2">
        <v>3</v>
      </c>
      <c r="V78" s="2">
        <v>3.5</v>
      </c>
      <c r="W78" s="2">
        <f t="shared" si="11"/>
        <v>2.6457513110645907</v>
      </c>
      <c r="X78" s="2">
        <v>1</v>
      </c>
      <c r="Y78" s="2">
        <f t="shared" si="12"/>
        <v>2.4494897427831779</v>
      </c>
      <c r="Z78" s="2">
        <v>3.5</v>
      </c>
      <c r="AA78" s="2">
        <f t="shared" si="13"/>
        <v>2.6457513110645907</v>
      </c>
      <c r="AB78" s="2">
        <f t="shared" si="14"/>
        <v>1.7320508075688772</v>
      </c>
      <c r="AC78" s="2">
        <v>3</v>
      </c>
      <c r="AD78" s="2">
        <v>2</v>
      </c>
      <c r="AE78" s="2">
        <v>1</v>
      </c>
      <c r="AF78" s="2">
        <v>2</v>
      </c>
      <c r="AG78" s="2">
        <v>0</v>
      </c>
      <c r="AH78" s="2">
        <v>1</v>
      </c>
      <c r="AI78" t="s">
        <v>45</v>
      </c>
    </row>
    <row r="79" spans="1:35" x14ac:dyDescent="0.3">
      <c r="A79" s="2" t="s">
        <v>35</v>
      </c>
      <c r="B79" s="2" t="s">
        <v>289</v>
      </c>
      <c r="C79" s="2" t="s">
        <v>290</v>
      </c>
      <c r="D79" s="2" t="s">
        <v>62</v>
      </c>
      <c r="E79" s="2" t="s">
        <v>291</v>
      </c>
      <c r="F79" s="2">
        <v>1988</v>
      </c>
      <c r="G79" s="2">
        <v>58</v>
      </c>
      <c r="H79" s="2">
        <v>0</v>
      </c>
      <c r="I79" s="2">
        <v>32</v>
      </c>
      <c r="J79" s="2">
        <v>26</v>
      </c>
      <c r="K79" s="2">
        <v>36</v>
      </c>
      <c r="L79" s="2">
        <f t="shared" ca="1" si="8"/>
        <v>38</v>
      </c>
      <c r="M79" s="2">
        <v>15</v>
      </c>
      <c r="N79" s="2">
        <v>16</v>
      </c>
      <c r="O79" s="2">
        <v>994</v>
      </c>
      <c r="P79" s="2">
        <f t="shared" ca="1" si="9"/>
        <v>0.39473684210526316</v>
      </c>
      <c r="Q79" s="2">
        <f t="shared" ca="1" si="10"/>
        <v>57.577132486388379</v>
      </c>
      <c r="R79" s="2">
        <v>5.8075000000000001</v>
      </c>
      <c r="S79" s="2">
        <f t="shared" si="15"/>
        <v>62.704051724137926</v>
      </c>
      <c r="T79" s="2">
        <v>15</v>
      </c>
      <c r="U79" s="2">
        <v>31</v>
      </c>
      <c r="V79" s="2">
        <v>59.933300000000003</v>
      </c>
      <c r="W79" s="2">
        <f t="shared" si="11"/>
        <v>29.983320363161916</v>
      </c>
      <c r="X79" s="2">
        <v>6</v>
      </c>
      <c r="Y79" s="2">
        <f t="shared" si="12"/>
        <v>21.563858652847824</v>
      </c>
      <c r="Z79" s="2">
        <v>38</v>
      </c>
      <c r="AA79" s="2">
        <f t="shared" si="13"/>
        <v>23.874672772626646</v>
      </c>
      <c r="AB79" s="2">
        <f t="shared" si="14"/>
        <v>25.961500341852357</v>
      </c>
      <c r="AC79" s="2">
        <v>63.584600000000002</v>
      </c>
      <c r="AD79" s="2">
        <v>13</v>
      </c>
      <c r="AE79" s="2">
        <v>4</v>
      </c>
      <c r="AF79" s="2">
        <v>6</v>
      </c>
      <c r="AG79" s="2">
        <v>1</v>
      </c>
      <c r="AH79" s="2">
        <v>9</v>
      </c>
      <c r="AI79" t="s">
        <v>64</v>
      </c>
    </row>
    <row r="80" spans="1:35" x14ac:dyDescent="0.3">
      <c r="A80" s="2" t="s">
        <v>35</v>
      </c>
      <c r="B80" s="2" t="s">
        <v>292</v>
      </c>
      <c r="C80" s="2" t="s">
        <v>293</v>
      </c>
      <c r="D80" s="2" t="s">
        <v>74</v>
      </c>
      <c r="E80" s="2" t="s">
        <v>294</v>
      </c>
      <c r="F80" s="2">
        <v>2003</v>
      </c>
      <c r="G80" s="2">
        <v>13</v>
      </c>
      <c r="H80" s="2">
        <v>1</v>
      </c>
      <c r="I80" s="2">
        <v>5</v>
      </c>
      <c r="J80" s="2">
        <v>2</v>
      </c>
      <c r="K80" s="2">
        <v>6</v>
      </c>
      <c r="L80" s="2">
        <f t="shared" ca="1" si="8"/>
        <v>23</v>
      </c>
      <c r="M80" s="2">
        <v>5</v>
      </c>
      <c r="N80" s="2">
        <v>3</v>
      </c>
      <c r="O80" s="2">
        <v>72</v>
      </c>
      <c r="P80" s="2">
        <f t="shared" ca="1" si="9"/>
        <v>0.21739130434782608</v>
      </c>
      <c r="Q80" s="2">
        <f t="shared" ca="1" si="10"/>
        <v>62.441471571906362</v>
      </c>
      <c r="R80" s="2">
        <v>3.8513999999999999</v>
      </c>
      <c r="S80" s="2">
        <f t="shared" si="15"/>
        <v>64.620630769230772</v>
      </c>
      <c r="T80" s="2">
        <v>5</v>
      </c>
      <c r="U80" s="2">
        <v>8</v>
      </c>
      <c r="V80" s="2">
        <v>12.8</v>
      </c>
      <c r="W80" s="2">
        <f t="shared" si="11"/>
        <v>8</v>
      </c>
      <c r="X80" s="2">
        <v>3</v>
      </c>
      <c r="Y80" s="2">
        <f t="shared" si="12"/>
        <v>6.324555320336759</v>
      </c>
      <c r="Z80" s="2">
        <v>13</v>
      </c>
      <c r="AA80" s="2">
        <f t="shared" si="13"/>
        <v>8.0622577482985491</v>
      </c>
      <c r="AB80" s="2">
        <f t="shared" si="14"/>
        <v>6.2449979983983983</v>
      </c>
      <c r="AC80" s="2">
        <v>12.4499</v>
      </c>
      <c r="AD80" s="2">
        <v>3</v>
      </c>
      <c r="AE80" s="2">
        <v>1</v>
      </c>
      <c r="AF80" s="2">
        <v>0</v>
      </c>
      <c r="AG80" s="2">
        <v>5</v>
      </c>
      <c r="AH80" s="2">
        <v>1</v>
      </c>
      <c r="AI80" t="s">
        <v>45</v>
      </c>
    </row>
    <row r="81" spans="1:35" x14ac:dyDescent="0.3">
      <c r="A81" s="2" t="s">
        <v>35</v>
      </c>
      <c r="B81" s="2" t="s">
        <v>295</v>
      </c>
      <c r="C81" s="2" t="s">
        <v>296</v>
      </c>
      <c r="D81" s="2" t="s">
        <v>51</v>
      </c>
      <c r="E81" s="2" t="s">
        <v>297</v>
      </c>
      <c r="F81" s="2">
        <v>1998</v>
      </c>
      <c r="G81" s="2">
        <v>273</v>
      </c>
      <c r="H81" s="2">
        <v>134</v>
      </c>
      <c r="I81" s="2">
        <v>87</v>
      </c>
      <c r="J81" s="2">
        <v>49</v>
      </c>
      <c r="K81" s="2">
        <v>94</v>
      </c>
      <c r="L81" s="2">
        <f t="shared" ca="1" si="8"/>
        <v>28</v>
      </c>
      <c r="M81" s="2">
        <v>22</v>
      </c>
      <c r="N81" s="2">
        <v>46</v>
      </c>
      <c r="O81" s="2">
        <v>2336</v>
      </c>
      <c r="P81" s="2">
        <f t="shared" ca="1" si="9"/>
        <v>0.7857142857142857</v>
      </c>
      <c r="Q81" s="2">
        <f t="shared" ca="1" si="10"/>
        <v>20.65410779696494</v>
      </c>
      <c r="R81" s="2">
        <v>13.516299999999999</v>
      </c>
      <c r="S81" s="2">
        <f t="shared" si="15"/>
        <v>33.882600366300366</v>
      </c>
      <c r="T81" s="2">
        <v>22</v>
      </c>
      <c r="U81" s="2">
        <v>44</v>
      </c>
      <c r="V81" s="2">
        <v>73.090900000000005</v>
      </c>
      <c r="W81" s="2">
        <f t="shared" si="11"/>
        <v>40.099872817753429</v>
      </c>
      <c r="X81" s="2">
        <v>7</v>
      </c>
      <c r="Y81" s="2">
        <f t="shared" si="12"/>
        <v>31.11269837220809</v>
      </c>
      <c r="Z81" s="2">
        <v>43</v>
      </c>
      <c r="AA81" s="2">
        <f t="shared" si="13"/>
        <v>30.757112998459398</v>
      </c>
      <c r="AB81" s="2">
        <f t="shared" si="14"/>
        <v>33.526106245730354</v>
      </c>
      <c r="AC81" s="2">
        <v>98.407300000000006</v>
      </c>
      <c r="AD81" s="2">
        <v>17</v>
      </c>
      <c r="AE81" s="2">
        <v>7</v>
      </c>
      <c r="AF81" s="2">
        <v>9</v>
      </c>
      <c r="AG81" s="2">
        <v>14</v>
      </c>
      <c r="AH81" s="2">
        <v>10</v>
      </c>
      <c r="AI81" t="s">
        <v>40</v>
      </c>
    </row>
    <row r="82" spans="1:35" x14ac:dyDescent="0.3">
      <c r="A82" s="2" t="s">
        <v>35</v>
      </c>
      <c r="B82" s="2" t="s">
        <v>298</v>
      </c>
      <c r="C82" s="2" t="s">
        <v>299</v>
      </c>
      <c r="D82" s="2" t="s">
        <v>51</v>
      </c>
      <c r="E82" s="2" t="s">
        <v>300</v>
      </c>
      <c r="F82" s="2">
        <v>1978</v>
      </c>
      <c r="G82" s="2">
        <v>174</v>
      </c>
      <c r="H82" s="2">
        <v>76</v>
      </c>
      <c r="I82" s="2">
        <v>35</v>
      </c>
      <c r="J82" s="2">
        <v>26</v>
      </c>
      <c r="K82" s="2">
        <v>53</v>
      </c>
      <c r="L82" s="2">
        <f t="shared" ca="1" si="8"/>
        <v>48</v>
      </c>
      <c r="M82" s="2">
        <v>29</v>
      </c>
      <c r="N82" s="2">
        <v>62</v>
      </c>
      <c r="O82" s="2">
        <v>3219</v>
      </c>
      <c r="P82" s="2">
        <f t="shared" ca="1" si="9"/>
        <v>0.60416666666666663</v>
      </c>
      <c r="Q82" s="2">
        <f t="shared" ca="1" si="10"/>
        <v>27.875957854406128</v>
      </c>
      <c r="R82" s="2">
        <v>13.523199999999999</v>
      </c>
      <c r="S82" s="2">
        <f t="shared" si="15"/>
        <v>41.051935632183906</v>
      </c>
      <c r="T82" s="2">
        <v>29</v>
      </c>
      <c r="U82" s="2">
        <v>53</v>
      </c>
      <c r="V82" s="2">
        <v>81.896600000000007</v>
      </c>
      <c r="W82" s="2">
        <f t="shared" si="11"/>
        <v>48.73398608773963</v>
      </c>
      <c r="X82" s="2">
        <v>8</v>
      </c>
      <c r="Y82" s="2">
        <f t="shared" si="12"/>
        <v>39.204591567825318</v>
      </c>
      <c r="Z82" s="2">
        <v>48</v>
      </c>
      <c r="AA82" s="2">
        <f t="shared" si="13"/>
        <v>37.309516212355263</v>
      </c>
      <c r="AB82" s="2">
        <f t="shared" si="14"/>
        <v>39.166329927630443</v>
      </c>
      <c r="AC82" s="2">
        <v>148.35429999999999</v>
      </c>
      <c r="AD82" s="2">
        <v>23</v>
      </c>
      <c r="AE82" s="2">
        <v>11</v>
      </c>
      <c r="AF82" s="2">
        <v>13</v>
      </c>
      <c r="AG82" s="2">
        <v>18</v>
      </c>
      <c r="AH82" s="2">
        <v>11</v>
      </c>
      <c r="AI82" t="s">
        <v>40</v>
      </c>
    </row>
    <row r="83" spans="1:35" x14ac:dyDescent="0.3">
      <c r="A83" s="2" t="s">
        <v>35</v>
      </c>
      <c r="B83" s="2" t="s">
        <v>301</v>
      </c>
      <c r="C83" s="2" t="s">
        <v>302</v>
      </c>
      <c r="D83" s="2" t="s">
        <v>109</v>
      </c>
      <c r="E83" s="2" t="s">
        <v>303</v>
      </c>
      <c r="F83" s="2">
        <v>1996</v>
      </c>
      <c r="G83" s="2">
        <v>113</v>
      </c>
      <c r="H83" s="2">
        <v>1</v>
      </c>
      <c r="I83" s="2">
        <v>28</v>
      </c>
      <c r="J83" s="2">
        <v>45</v>
      </c>
      <c r="K83" s="2">
        <v>58</v>
      </c>
      <c r="L83" s="2">
        <f t="shared" ca="1" si="8"/>
        <v>30</v>
      </c>
      <c r="M83" s="2">
        <v>24</v>
      </c>
      <c r="N83" s="2">
        <v>46</v>
      </c>
      <c r="O83" s="2">
        <v>1785</v>
      </c>
      <c r="P83" s="2">
        <f t="shared" ca="1" si="9"/>
        <v>0.8</v>
      </c>
      <c r="Q83" s="2">
        <f t="shared" ca="1" si="10"/>
        <v>47.522123893805308</v>
      </c>
      <c r="R83" s="2">
        <v>11.087899999999999</v>
      </c>
      <c r="S83" s="2">
        <f t="shared" si="15"/>
        <v>57.902059292035396</v>
      </c>
      <c r="T83" s="2">
        <v>24</v>
      </c>
      <c r="U83" s="2">
        <v>38</v>
      </c>
      <c r="V83" s="2">
        <v>50.208300000000001</v>
      </c>
      <c r="W83" s="2">
        <f t="shared" si="11"/>
        <v>34.713098392393611</v>
      </c>
      <c r="X83" s="2">
        <v>7</v>
      </c>
      <c r="Y83" s="2">
        <f t="shared" si="12"/>
        <v>30.199337741082999</v>
      </c>
      <c r="Z83" s="2">
        <v>45</v>
      </c>
      <c r="AA83" s="2">
        <f t="shared" si="13"/>
        <v>32.863353450309965</v>
      </c>
      <c r="AB83" s="2">
        <f t="shared" si="14"/>
        <v>25.079856458919377</v>
      </c>
      <c r="AC83" s="2">
        <v>105.7024</v>
      </c>
      <c r="AD83" s="2">
        <v>20</v>
      </c>
      <c r="AE83" s="2">
        <v>6</v>
      </c>
      <c r="AF83" s="2">
        <v>12</v>
      </c>
      <c r="AG83" s="2">
        <v>11</v>
      </c>
      <c r="AH83" s="2">
        <v>16</v>
      </c>
      <c r="AI83" t="s">
        <v>93</v>
      </c>
    </row>
    <row r="84" spans="1:35" x14ac:dyDescent="0.3">
      <c r="A84" s="2" t="s">
        <v>35</v>
      </c>
      <c r="B84" s="2" t="s">
        <v>304</v>
      </c>
      <c r="C84" s="2" t="s">
        <v>305</v>
      </c>
      <c r="D84" s="2" t="s">
        <v>187</v>
      </c>
      <c r="E84" s="2" t="s">
        <v>306</v>
      </c>
      <c r="F84" s="2">
        <v>1989</v>
      </c>
      <c r="G84" s="2">
        <v>125</v>
      </c>
      <c r="H84" s="2">
        <v>58</v>
      </c>
      <c r="I84" s="2">
        <v>35</v>
      </c>
      <c r="J84" s="2">
        <v>21</v>
      </c>
      <c r="K84" s="2">
        <v>39</v>
      </c>
      <c r="L84" s="2">
        <f t="shared" ca="1" si="8"/>
        <v>37</v>
      </c>
      <c r="M84" s="2">
        <v>18</v>
      </c>
      <c r="N84" s="2">
        <v>37</v>
      </c>
      <c r="O84" s="2">
        <v>1071</v>
      </c>
      <c r="P84" s="2">
        <f t="shared" ca="1" si="9"/>
        <v>0.48648648648648651</v>
      </c>
      <c r="Q84" s="2">
        <f t="shared" ca="1" si="10"/>
        <v>25.749189189189192</v>
      </c>
      <c r="R84" s="2">
        <v>7.5858999999999996</v>
      </c>
      <c r="S84" s="2">
        <f t="shared" si="15"/>
        <v>32.945900000000002</v>
      </c>
      <c r="T84" s="2">
        <v>18</v>
      </c>
      <c r="U84" s="2">
        <v>28</v>
      </c>
      <c r="V84" s="2">
        <v>35.944400000000002</v>
      </c>
      <c r="W84" s="2">
        <f t="shared" si="11"/>
        <v>25.436178958326266</v>
      </c>
      <c r="X84" s="2">
        <v>6</v>
      </c>
      <c r="Y84" s="2">
        <f t="shared" si="12"/>
        <v>22.449944320643649</v>
      </c>
      <c r="Z84" s="2">
        <v>26.5</v>
      </c>
      <c r="AA84" s="2">
        <f t="shared" si="13"/>
        <v>21.840329667841555</v>
      </c>
      <c r="AB84" s="2">
        <f t="shared" si="14"/>
        <v>17.972178499002283</v>
      </c>
      <c r="AC84" s="2">
        <v>65.901399999999995</v>
      </c>
      <c r="AD84" s="2">
        <v>11</v>
      </c>
      <c r="AE84" s="2">
        <v>6</v>
      </c>
      <c r="AF84" s="2">
        <v>0</v>
      </c>
      <c r="AG84" s="2">
        <v>17</v>
      </c>
      <c r="AH84" s="2">
        <v>7</v>
      </c>
      <c r="AI84" t="s">
        <v>45</v>
      </c>
    </row>
    <row r="85" spans="1:35" x14ac:dyDescent="0.3">
      <c r="A85" s="2" t="s">
        <v>35</v>
      </c>
      <c r="B85" s="2" t="s">
        <v>307</v>
      </c>
      <c r="C85" s="2" t="s">
        <v>308</v>
      </c>
      <c r="D85" s="2" t="s">
        <v>109</v>
      </c>
      <c r="E85" s="2" t="s">
        <v>309</v>
      </c>
      <c r="F85" s="2">
        <v>2007</v>
      </c>
      <c r="G85" s="2">
        <v>197</v>
      </c>
      <c r="H85" s="2">
        <v>35</v>
      </c>
      <c r="I85" s="2">
        <v>51</v>
      </c>
      <c r="J85" s="2">
        <v>64</v>
      </c>
      <c r="K85" s="2">
        <v>95</v>
      </c>
      <c r="L85" s="2">
        <f t="shared" ca="1" si="8"/>
        <v>19</v>
      </c>
      <c r="M85" s="2">
        <v>23</v>
      </c>
      <c r="N85" s="2">
        <v>61</v>
      </c>
      <c r="O85" s="2">
        <v>2439</v>
      </c>
      <c r="P85" s="2">
        <f t="shared" ca="1" si="9"/>
        <v>1.2105263157894737</v>
      </c>
      <c r="Q85" s="2">
        <f t="shared" ca="1" si="10"/>
        <v>34.62463264760887</v>
      </c>
      <c r="R85" s="2">
        <v>13.5291</v>
      </c>
      <c r="S85" s="2">
        <f t="shared" si="15"/>
        <v>47.539252284263959</v>
      </c>
      <c r="T85" s="2">
        <v>23</v>
      </c>
      <c r="U85" s="2">
        <v>43</v>
      </c>
      <c r="V85" s="2">
        <v>66.652199999999993</v>
      </c>
      <c r="W85" s="2">
        <f t="shared" si="11"/>
        <v>39.153551563044694</v>
      </c>
      <c r="X85" s="2">
        <v>7</v>
      </c>
      <c r="Y85" s="2">
        <f t="shared" si="12"/>
        <v>31.448370387032774</v>
      </c>
      <c r="Z85" s="2">
        <v>39</v>
      </c>
      <c r="AA85" s="2">
        <f t="shared" si="13"/>
        <v>29.949958263743873</v>
      </c>
      <c r="AB85" s="2">
        <f t="shared" si="14"/>
        <v>31.685968503424348</v>
      </c>
      <c r="AC85" s="2">
        <v>101.45440000000001</v>
      </c>
      <c r="AD85" s="2">
        <v>19</v>
      </c>
      <c r="AE85" s="2">
        <v>11</v>
      </c>
      <c r="AF85" s="2">
        <v>8</v>
      </c>
      <c r="AG85" s="2">
        <v>13</v>
      </c>
      <c r="AH85" s="2">
        <v>15</v>
      </c>
      <c r="AI85" t="s">
        <v>93</v>
      </c>
    </row>
    <row r="86" spans="1:35" x14ac:dyDescent="0.3">
      <c r="A86" s="2" t="s">
        <v>35</v>
      </c>
      <c r="B86" s="2" t="s">
        <v>310</v>
      </c>
      <c r="C86" s="2" t="s">
        <v>311</v>
      </c>
      <c r="D86" s="2" t="s">
        <v>38</v>
      </c>
      <c r="E86" s="2" t="s">
        <v>312</v>
      </c>
      <c r="F86" s="2">
        <v>1995</v>
      </c>
      <c r="G86" s="2">
        <v>44</v>
      </c>
      <c r="H86" s="2">
        <v>12</v>
      </c>
      <c r="I86" s="2">
        <v>11</v>
      </c>
      <c r="J86" s="2">
        <v>2</v>
      </c>
      <c r="K86" s="2">
        <v>12</v>
      </c>
      <c r="L86" s="2">
        <f t="shared" ca="1" si="8"/>
        <v>31</v>
      </c>
      <c r="M86" s="2">
        <v>6</v>
      </c>
      <c r="N86" s="2">
        <v>4</v>
      </c>
      <c r="O86" s="2">
        <v>135</v>
      </c>
      <c r="P86" s="2">
        <f t="shared" ca="1" si="9"/>
        <v>0.19354838709677419</v>
      </c>
      <c r="Q86" s="2">
        <f t="shared" ca="1" si="10"/>
        <v>24.985337243401762</v>
      </c>
      <c r="R86" s="2">
        <v>2.8807999999999998</v>
      </c>
      <c r="S86" s="2">
        <f t="shared" si="15"/>
        <v>27.426254545454551</v>
      </c>
      <c r="T86" s="2">
        <v>6</v>
      </c>
      <c r="U86" s="2">
        <v>10</v>
      </c>
      <c r="V86" s="2">
        <v>14.5</v>
      </c>
      <c r="W86" s="2">
        <f t="shared" si="11"/>
        <v>9.3273790530888157</v>
      </c>
      <c r="X86" s="2">
        <v>3</v>
      </c>
      <c r="Y86" s="2">
        <f t="shared" si="12"/>
        <v>7.745966692414834</v>
      </c>
      <c r="Z86" s="2">
        <v>11</v>
      </c>
      <c r="AA86" s="2">
        <f t="shared" si="13"/>
        <v>8.1240384046359608</v>
      </c>
      <c r="AB86" s="2">
        <f t="shared" si="14"/>
        <v>7.1414284285428504</v>
      </c>
      <c r="AC86" s="2">
        <v>15.033300000000001</v>
      </c>
      <c r="AD86" s="2">
        <v>4</v>
      </c>
      <c r="AE86" s="2">
        <v>3</v>
      </c>
      <c r="AF86" s="2">
        <v>2</v>
      </c>
      <c r="AG86" s="2">
        <v>5</v>
      </c>
      <c r="AH86" s="2">
        <v>1</v>
      </c>
      <c r="AI86" t="s">
        <v>40</v>
      </c>
    </row>
    <row r="87" spans="1:35" x14ac:dyDescent="0.3">
      <c r="A87" s="2" t="s">
        <v>35</v>
      </c>
      <c r="B87" s="2" t="s">
        <v>313</v>
      </c>
      <c r="C87" s="2" t="s">
        <v>314</v>
      </c>
      <c r="D87" s="2" t="s">
        <v>99</v>
      </c>
      <c r="E87" s="2" t="s">
        <v>315</v>
      </c>
      <c r="F87" s="2">
        <v>2003</v>
      </c>
      <c r="G87" s="2">
        <v>345</v>
      </c>
      <c r="H87" s="2">
        <v>29</v>
      </c>
      <c r="I87" s="2">
        <v>109</v>
      </c>
      <c r="J87" s="2">
        <v>32</v>
      </c>
      <c r="K87" s="2">
        <v>130</v>
      </c>
      <c r="L87" s="2">
        <f t="shared" ca="1" si="8"/>
        <v>23</v>
      </c>
      <c r="M87" s="2">
        <v>20</v>
      </c>
      <c r="N87" s="2">
        <v>29</v>
      </c>
      <c r="O87" s="2">
        <v>1381</v>
      </c>
      <c r="P87" s="2">
        <f t="shared" ca="1" si="9"/>
        <v>0.86956521739130432</v>
      </c>
      <c r="Q87" s="2">
        <f t="shared" ca="1" si="10"/>
        <v>24.049149338374288</v>
      </c>
      <c r="R87" s="2">
        <v>8.9928000000000008</v>
      </c>
      <c r="S87" s="2">
        <f t="shared" si="15"/>
        <v>32.789901449275362</v>
      </c>
      <c r="T87" s="2">
        <v>20</v>
      </c>
      <c r="U87" s="2">
        <v>36</v>
      </c>
      <c r="V87" s="2">
        <v>57.45</v>
      </c>
      <c r="W87" s="2">
        <f t="shared" si="11"/>
        <v>33.896902513356586</v>
      </c>
      <c r="X87" s="2">
        <v>7</v>
      </c>
      <c r="Y87" s="2">
        <f t="shared" si="12"/>
        <v>26.832815729997478</v>
      </c>
      <c r="Z87" s="2">
        <v>38.5</v>
      </c>
      <c r="AA87" s="2">
        <f t="shared" si="13"/>
        <v>27.748873851023216</v>
      </c>
      <c r="AB87" s="2">
        <f t="shared" si="14"/>
        <v>27.367864366808018</v>
      </c>
      <c r="AC87" s="2">
        <v>87.126300000000001</v>
      </c>
      <c r="AD87" s="2">
        <v>17</v>
      </c>
      <c r="AE87" s="2">
        <v>10</v>
      </c>
      <c r="AF87" s="2">
        <v>3</v>
      </c>
      <c r="AG87" s="2">
        <v>9</v>
      </c>
      <c r="AH87" s="2">
        <v>9</v>
      </c>
      <c r="AI87" t="s">
        <v>45</v>
      </c>
    </row>
    <row r="88" spans="1:35" x14ac:dyDescent="0.3">
      <c r="A88" s="2" t="s">
        <v>35</v>
      </c>
      <c r="B88" s="2" t="s">
        <v>316</v>
      </c>
      <c r="C88" s="2" t="s">
        <v>317</v>
      </c>
      <c r="D88" s="2" t="s">
        <v>318</v>
      </c>
      <c r="E88" s="2" t="s">
        <v>319</v>
      </c>
      <c r="F88" s="2">
        <v>2014</v>
      </c>
      <c r="G88" s="2">
        <v>3</v>
      </c>
      <c r="H88" s="2">
        <v>1</v>
      </c>
      <c r="I88" s="2">
        <v>1</v>
      </c>
      <c r="J88" s="2">
        <v>1</v>
      </c>
      <c r="K88" s="2">
        <v>2</v>
      </c>
      <c r="L88" s="2">
        <f t="shared" ca="1" si="8"/>
        <v>12</v>
      </c>
      <c r="M88" s="2">
        <v>1</v>
      </c>
      <c r="N88" s="2">
        <v>0</v>
      </c>
      <c r="O88" s="2">
        <v>2</v>
      </c>
      <c r="P88" s="2">
        <f t="shared" ca="1" si="9"/>
        <v>8.3333333333333329E-2</v>
      </c>
      <c r="Q88" s="2">
        <f t="shared" ca="1" si="10"/>
        <v>66.111111111111114</v>
      </c>
      <c r="R88" s="2">
        <v>1</v>
      </c>
      <c r="S88" s="2">
        <f t="shared" si="15"/>
        <v>64.333333333333343</v>
      </c>
      <c r="T88" s="2">
        <v>1</v>
      </c>
      <c r="U88" s="2">
        <v>1</v>
      </c>
      <c r="V88" s="2">
        <v>1</v>
      </c>
      <c r="W88" s="2">
        <f t="shared" si="11"/>
        <v>1</v>
      </c>
      <c r="X88" s="2">
        <v>1</v>
      </c>
      <c r="Y88" s="2">
        <f t="shared" si="12"/>
        <v>1</v>
      </c>
      <c r="Z88" s="2">
        <v>1</v>
      </c>
      <c r="AA88" s="2">
        <f t="shared" si="13"/>
        <v>1</v>
      </c>
      <c r="AB88" s="2">
        <f t="shared" si="14"/>
        <v>0</v>
      </c>
      <c r="AC88" s="2">
        <v>1</v>
      </c>
      <c r="AD88" s="2">
        <v>0</v>
      </c>
      <c r="AE88" s="2">
        <v>1</v>
      </c>
      <c r="AF88" s="2">
        <v>0</v>
      </c>
      <c r="AG88" s="2">
        <v>1</v>
      </c>
      <c r="AH88" s="2">
        <v>0</v>
      </c>
      <c r="AI88" t="s">
        <v>45</v>
      </c>
    </row>
    <row r="89" spans="1:35" x14ac:dyDescent="0.3">
      <c r="A89" s="2" t="s">
        <v>35</v>
      </c>
      <c r="B89" s="2" t="s">
        <v>320</v>
      </c>
      <c r="C89" s="2" t="s">
        <v>321</v>
      </c>
      <c r="D89" s="2" t="s">
        <v>91</v>
      </c>
      <c r="E89" s="2" t="s">
        <v>322</v>
      </c>
      <c r="F89" s="2">
        <v>1961</v>
      </c>
      <c r="G89" s="2">
        <v>1422</v>
      </c>
      <c r="H89" s="2">
        <v>384</v>
      </c>
      <c r="I89" s="2">
        <v>333</v>
      </c>
      <c r="J89" s="2">
        <v>173</v>
      </c>
      <c r="K89" s="2">
        <v>389</v>
      </c>
      <c r="L89" s="2">
        <f t="shared" ca="1" si="8"/>
        <v>65</v>
      </c>
      <c r="M89" s="2">
        <v>65</v>
      </c>
      <c r="N89" s="2">
        <v>401</v>
      </c>
      <c r="O89" s="2">
        <v>18465</v>
      </c>
      <c r="P89" s="2">
        <f t="shared" ca="1" si="9"/>
        <v>1</v>
      </c>
      <c r="Q89" s="2">
        <f t="shared" ca="1" si="10"/>
        <v>15.61884669479606</v>
      </c>
      <c r="R89" s="2">
        <v>24.549199999999999</v>
      </c>
      <c r="S89" s="2">
        <f t="shared" si="15"/>
        <v>40.097723206751056</v>
      </c>
      <c r="T89" s="2">
        <v>65</v>
      </c>
      <c r="U89" s="2">
        <v>100</v>
      </c>
      <c r="V89" s="2">
        <v>125.2154</v>
      </c>
      <c r="W89" s="2">
        <f t="shared" si="11"/>
        <v>90.216412032401294</v>
      </c>
      <c r="X89" s="2">
        <v>12</v>
      </c>
      <c r="Y89" s="2">
        <f t="shared" si="12"/>
        <v>80.622577482985491</v>
      </c>
      <c r="Z89" s="2">
        <v>105</v>
      </c>
      <c r="AA89" s="2">
        <f t="shared" si="13"/>
        <v>82.613558209291526</v>
      </c>
      <c r="AB89" s="2">
        <f t="shared" si="14"/>
        <v>62.561977270543487</v>
      </c>
      <c r="AC89" s="2">
        <v>451.67020000000002</v>
      </c>
      <c r="AD89" s="2">
        <v>45</v>
      </c>
      <c r="AE89" s="2">
        <v>27</v>
      </c>
      <c r="AF89" s="2">
        <v>33</v>
      </c>
      <c r="AG89" s="2">
        <v>45</v>
      </c>
      <c r="AH89" s="2">
        <v>28</v>
      </c>
      <c r="AI89" t="s">
        <v>93</v>
      </c>
    </row>
    <row r="90" spans="1:35" x14ac:dyDescent="0.3">
      <c r="A90" s="2" t="s">
        <v>35</v>
      </c>
      <c r="B90" s="2" t="s">
        <v>323</v>
      </c>
      <c r="C90" s="2" t="s">
        <v>324</v>
      </c>
      <c r="D90" s="2" t="s">
        <v>74</v>
      </c>
      <c r="E90" s="2" t="s">
        <v>325</v>
      </c>
      <c r="F90" s="2">
        <v>1949</v>
      </c>
      <c r="G90" s="2">
        <v>250</v>
      </c>
      <c r="H90" s="2">
        <v>69</v>
      </c>
      <c r="I90" s="2">
        <v>82</v>
      </c>
      <c r="J90" s="2">
        <v>69</v>
      </c>
      <c r="K90" s="2">
        <v>116</v>
      </c>
      <c r="L90" s="2">
        <f t="shared" ca="1" si="8"/>
        <v>77</v>
      </c>
      <c r="M90" s="2">
        <v>83</v>
      </c>
      <c r="N90" s="2">
        <v>154</v>
      </c>
      <c r="O90" s="2">
        <v>46906</v>
      </c>
      <c r="P90" s="2">
        <f t="shared" ca="1" si="9"/>
        <v>1.0779220779220779</v>
      </c>
      <c r="Q90" s="2">
        <f t="shared" ca="1" si="10"/>
        <v>54.071168831168826</v>
      </c>
      <c r="R90" s="2">
        <v>54.177700000000002</v>
      </c>
      <c r="S90" s="2">
        <f t="shared" si="15"/>
        <v>107.8177</v>
      </c>
      <c r="T90" s="2">
        <v>83</v>
      </c>
      <c r="U90" s="2">
        <v>216</v>
      </c>
      <c r="V90" s="2">
        <v>527.69880000000001</v>
      </c>
      <c r="W90" s="2">
        <f t="shared" si="11"/>
        <v>209.28210721416201</v>
      </c>
      <c r="X90" s="2">
        <v>20</v>
      </c>
      <c r="Y90" s="2">
        <f t="shared" si="12"/>
        <v>133.89548162652838</v>
      </c>
      <c r="Z90" s="2">
        <v>228</v>
      </c>
      <c r="AA90" s="2">
        <f t="shared" si="13"/>
        <v>137.56453031214116</v>
      </c>
      <c r="AB90" s="2">
        <f t="shared" si="14"/>
        <v>192.11975536107678</v>
      </c>
      <c r="AC90" s="2">
        <v>863.46799999999996</v>
      </c>
      <c r="AD90" s="2">
        <v>60</v>
      </c>
      <c r="AE90" s="2">
        <v>10</v>
      </c>
      <c r="AF90" s="2">
        <v>15</v>
      </c>
      <c r="AG90" s="2">
        <v>55</v>
      </c>
      <c r="AH90" s="2">
        <v>41</v>
      </c>
      <c r="AI90" t="s">
        <v>45</v>
      </c>
    </row>
    <row r="91" spans="1:35" x14ac:dyDescent="0.3">
      <c r="A91" s="2" t="s">
        <v>35</v>
      </c>
      <c r="B91" s="2" t="s">
        <v>326</v>
      </c>
      <c r="C91" s="2" t="s">
        <v>327</v>
      </c>
      <c r="D91" s="2" t="s">
        <v>91</v>
      </c>
      <c r="E91" s="2" t="s">
        <v>328</v>
      </c>
      <c r="F91" s="2">
        <v>1988</v>
      </c>
      <c r="G91" s="2">
        <v>145</v>
      </c>
      <c r="H91" s="2">
        <v>50</v>
      </c>
      <c r="I91" s="2">
        <v>56</v>
      </c>
      <c r="J91" s="2">
        <v>21</v>
      </c>
      <c r="K91" s="2">
        <v>61</v>
      </c>
      <c r="L91" s="2">
        <f t="shared" ca="1" si="8"/>
        <v>38</v>
      </c>
      <c r="M91" s="2">
        <v>34</v>
      </c>
      <c r="N91" s="2">
        <v>56</v>
      </c>
      <c r="O91" s="2">
        <v>5094</v>
      </c>
      <c r="P91" s="2">
        <f t="shared" ca="1" si="9"/>
        <v>0.89473684210526316</v>
      </c>
      <c r="Q91" s="2">
        <f t="shared" ca="1" si="10"/>
        <v>41.651542649727766</v>
      </c>
      <c r="R91" s="2">
        <v>15.7159</v>
      </c>
      <c r="S91" s="2">
        <f t="shared" si="15"/>
        <v>56.750382758620688</v>
      </c>
      <c r="T91" s="2">
        <v>34</v>
      </c>
      <c r="U91" s="2">
        <v>70</v>
      </c>
      <c r="V91" s="2">
        <v>132.2647</v>
      </c>
      <c r="W91" s="2">
        <f t="shared" si="11"/>
        <v>67.059673425986801</v>
      </c>
      <c r="X91" s="2">
        <v>9</v>
      </c>
      <c r="Y91" s="2">
        <f t="shared" si="12"/>
        <v>48.785243670601872</v>
      </c>
      <c r="Z91" s="2">
        <v>63</v>
      </c>
      <c r="AA91" s="2">
        <f t="shared" si="13"/>
        <v>46.281745861624536</v>
      </c>
      <c r="AB91" s="2">
        <f t="shared" si="14"/>
        <v>57.801382336411301</v>
      </c>
      <c r="AC91" s="2">
        <v>196.2295</v>
      </c>
      <c r="AD91" s="2">
        <v>22</v>
      </c>
      <c r="AE91" s="2">
        <v>12</v>
      </c>
      <c r="AF91" s="2">
        <v>15</v>
      </c>
      <c r="AG91" s="2">
        <v>17</v>
      </c>
      <c r="AH91" s="2">
        <v>5</v>
      </c>
      <c r="AI91" t="s">
        <v>93</v>
      </c>
    </row>
    <row r="92" spans="1:35" x14ac:dyDescent="0.3">
      <c r="A92" s="2" t="s">
        <v>35</v>
      </c>
      <c r="B92" s="2" t="s">
        <v>329</v>
      </c>
      <c r="C92" s="2" t="s">
        <v>330</v>
      </c>
      <c r="D92" s="2" t="s">
        <v>74</v>
      </c>
      <c r="E92" s="2" t="s">
        <v>331</v>
      </c>
      <c r="F92" s="2">
        <v>1996</v>
      </c>
      <c r="G92" s="2">
        <v>36</v>
      </c>
      <c r="H92" s="2">
        <v>3</v>
      </c>
      <c r="I92" s="2">
        <v>4</v>
      </c>
      <c r="J92" s="2">
        <v>3</v>
      </c>
      <c r="K92" s="2">
        <v>4</v>
      </c>
      <c r="L92" s="2">
        <f t="shared" ca="1" si="8"/>
        <v>30</v>
      </c>
      <c r="M92" s="2">
        <v>11</v>
      </c>
      <c r="N92" s="2">
        <v>13</v>
      </c>
      <c r="O92" s="2">
        <v>669</v>
      </c>
      <c r="P92" s="2">
        <f t="shared" ca="1" si="9"/>
        <v>0.36666666666666664</v>
      </c>
      <c r="Q92" s="2">
        <f t="shared" ca="1" si="10"/>
        <v>36.296296296296298</v>
      </c>
      <c r="R92" s="2">
        <v>8.6136999999999997</v>
      </c>
      <c r="S92" s="2">
        <f t="shared" si="15"/>
        <v>43.891477777777773</v>
      </c>
      <c r="T92" s="2">
        <v>11</v>
      </c>
      <c r="U92" s="2">
        <v>25</v>
      </c>
      <c r="V92" s="2">
        <v>55</v>
      </c>
      <c r="W92" s="2">
        <f t="shared" si="11"/>
        <v>24.596747752497688</v>
      </c>
      <c r="X92" s="2">
        <v>6</v>
      </c>
      <c r="Y92" s="2">
        <f t="shared" si="12"/>
        <v>16.583123951777001</v>
      </c>
      <c r="Z92" s="2">
        <v>39</v>
      </c>
      <c r="AA92" s="2">
        <f t="shared" si="13"/>
        <v>20.71231517720798</v>
      </c>
      <c r="AB92" s="2">
        <f t="shared" si="14"/>
        <v>22</v>
      </c>
      <c r="AC92" s="2">
        <v>50.665599999999998</v>
      </c>
      <c r="AD92" s="2">
        <v>8</v>
      </c>
      <c r="AE92" s="2">
        <v>1</v>
      </c>
      <c r="AF92" s="2">
        <v>9</v>
      </c>
      <c r="AG92" s="2">
        <v>4</v>
      </c>
      <c r="AH92" s="2">
        <v>2</v>
      </c>
      <c r="AI92" t="s">
        <v>45</v>
      </c>
    </row>
    <row r="93" spans="1:35" x14ac:dyDescent="0.3">
      <c r="A93" s="2" t="s">
        <v>35</v>
      </c>
      <c r="B93" s="2" t="s">
        <v>332</v>
      </c>
      <c r="C93" s="2" t="s">
        <v>333</v>
      </c>
      <c r="D93" s="2" t="s">
        <v>109</v>
      </c>
      <c r="E93" s="2" t="s">
        <v>334</v>
      </c>
      <c r="F93" s="2">
        <v>2019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f t="shared" ca="1" si="8"/>
        <v>7</v>
      </c>
      <c r="M93" s="2">
        <v>1</v>
      </c>
      <c r="N93" s="2">
        <v>0</v>
      </c>
      <c r="O93" s="2">
        <v>4</v>
      </c>
      <c r="P93" s="2">
        <f t="shared" ca="1" si="9"/>
        <v>0.14285714285714285</v>
      </c>
      <c r="Q93" s="2">
        <f t="shared" ca="1" si="10"/>
        <v>114.28571428571428</v>
      </c>
      <c r="R93" s="2">
        <v>0.70709999999999995</v>
      </c>
      <c r="S93" s="2">
        <f t="shared" si="15"/>
        <v>100.7071</v>
      </c>
      <c r="T93" s="2">
        <v>1</v>
      </c>
      <c r="U93" s="2">
        <v>1</v>
      </c>
      <c r="V93" s="2">
        <v>4</v>
      </c>
      <c r="W93" s="2">
        <f t="shared" si="11"/>
        <v>2</v>
      </c>
      <c r="X93" s="2">
        <v>1</v>
      </c>
      <c r="Y93" s="2">
        <f t="shared" si="12"/>
        <v>1</v>
      </c>
      <c r="Z93" s="2">
        <v>4</v>
      </c>
      <c r="AA93" s="2">
        <f t="shared" si="13"/>
        <v>2</v>
      </c>
      <c r="AB93" s="2">
        <f t="shared" si="14"/>
        <v>1.7320508075688772</v>
      </c>
      <c r="AC93" s="2">
        <v>2</v>
      </c>
      <c r="AD93" s="2">
        <v>1</v>
      </c>
      <c r="AE93" s="2">
        <v>0</v>
      </c>
      <c r="AF93" s="2">
        <v>0</v>
      </c>
      <c r="AG93" s="2">
        <v>1</v>
      </c>
      <c r="AH93" s="2">
        <v>0</v>
      </c>
      <c r="AI93" t="s">
        <v>93</v>
      </c>
    </row>
    <row r="94" spans="1:35" x14ac:dyDescent="0.3">
      <c r="A94" s="2" t="s">
        <v>35</v>
      </c>
      <c r="B94" s="2" t="s">
        <v>335</v>
      </c>
      <c r="C94" s="2" t="s">
        <v>336</v>
      </c>
      <c r="D94" s="2" t="s">
        <v>38</v>
      </c>
      <c r="E94" s="2" t="s">
        <v>337</v>
      </c>
      <c r="F94" s="2">
        <v>2010</v>
      </c>
      <c r="G94" s="2">
        <v>36</v>
      </c>
      <c r="H94" s="2">
        <v>0</v>
      </c>
      <c r="I94" s="2">
        <v>25</v>
      </c>
      <c r="J94" s="2">
        <v>21</v>
      </c>
      <c r="K94" s="2">
        <v>28</v>
      </c>
      <c r="L94" s="2">
        <f t="shared" ca="1" si="8"/>
        <v>16</v>
      </c>
      <c r="M94" s="2">
        <v>9</v>
      </c>
      <c r="N94" s="2">
        <v>9</v>
      </c>
      <c r="O94" s="2">
        <v>265</v>
      </c>
      <c r="P94" s="2">
        <f t="shared" ca="1" si="9"/>
        <v>0.5625</v>
      </c>
      <c r="Q94" s="2">
        <f t="shared" ca="1" si="10"/>
        <v>65.451388888888886</v>
      </c>
      <c r="R94" s="2">
        <v>4.6684000000000001</v>
      </c>
      <c r="S94" s="2">
        <f t="shared" si="15"/>
        <v>68.557288888888891</v>
      </c>
      <c r="T94" s="2">
        <v>9</v>
      </c>
      <c r="U94" s="2">
        <v>15</v>
      </c>
      <c r="V94" s="2">
        <v>22.8889</v>
      </c>
      <c r="W94" s="2">
        <f t="shared" si="11"/>
        <v>14.352703578071973</v>
      </c>
      <c r="X94" s="2">
        <v>4</v>
      </c>
      <c r="Y94" s="2">
        <f t="shared" si="12"/>
        <v>11.61895003862225</v>
      </c>
      <c r="Z94" s="2">
        <v>17</v>
      </c>
      <c r="AA94" s="2">
        <f t="shared" si="13"/>
        <v>12.369316876852981</v>
      </c>
      <c r="AB94" s="2">
        <f t="shared" si="14"/>
        <v>11.18034435963401</v>
      </c>
      <c r="AC94" s="2">
        <v>26.3629</v>
      </c>
      <c r="AD94" s="2">
        <v>9</v>
      </c>
      <c r="AE94" s="2">
        <v>4</v>
      </c>
      <c r="AF94" s="2">
        <v>2</v>
      </c>
      <c r="AG94" s="2">
        <v>0</v>
      </c>
      <c r="AH94" s="2">
        <v>7</v>
      </c>
      <c r="AI94" t="s">
        <v>40</v>
      </c>
    </row>
    <row r="95" spans="1:35" x14ac:dyDescent="0.3">
      <c r="A95" s="2" t="s">
        <v>35</v>
      </c>
      <c r="B95" s="2" t="s">
        <v>338</v>
      </c>
      <c r="C95" s="2" t="s">
        <v>339</v>
      </c>
      <c r="D95" s="2" t="s">
        <v>91</v>
      </c>
      <c r="E95" s="2" t="s">
        <v>340</v>
      </c>
      <c r="F95" s="2">
        <v>2016</v>
      </c>
      <c r="G95" s="2">
        <v>6</v>
      </c>
      <c r="H95" s="2">
        <v>1</v>
      </c>
      <c r="I95" s="2">
        <v>3</v>
      </c>
      <c r="J95" s="2">
        <v>2</v>
      </c>
      <c r="K95" s="2">
        <v>3</v>
      </c>
      <c r="L95" s="2">
        <f t="shared" ca="1" si="8"/>
        <v>10</v>
      </c>
      <c r="M95" s="2">
        <v>4</v>
      </c>
      <c r="N95" s="2">
        <v>3</v>
      </c>
      <c r="O95" s="2">
        <v>62</v>
      </c>
      <c r="P95" s="2">
        <f t="shared" ca="1" si="9"/>
        <v>0.4</v>
      </c>
      <c r="Q95" s="2">
        <f t="shared" ca="1" si="10"/>
        <v>96.666666666666686</v>
      </c>
      <c r="R95" s="2">
        <v>2.7538999999999998</v>
      </c>
      <c r="S95" s="2">
        <f t="shared" si="15"/>
        <v>92.753900000000016</v>
      </c>
      <c r="T95" s="2">
        <v>4</v>
      </c>
      <c r="U95" s="2">
        <v>6</v>
      </c>
      <c r="V95" s="2">
        <v>14</v>
      </c>
      <c r="W95" s="2">
        <f t="shared" si="11"/>
        <v>7.4833147735478827</v>
      </c>
      <c r="X95" s="2">
        <v>3</v>
      </c>
      <c r="Y95" s="2">
        <f t="shared" si="12"/>
        <v>4.8989794855663558</v>
      </c>
      <c r="Z95" s="2">
        <v>13.5</v>
      </c>
      <c r="AA95" s="2">
        <f t="shared" si="13"/>
        <v>7.3484692283495345</v>
      </c>
      <c r="AB95" s="2">
        <f t="shared" si="14"/>
        <v>6.324555320336759</v>
      </c>
      <c r="AC95" s="2">
        <v>10.2956</v>
      </c>
      <c r="AD95" s="2">
        <v>3</v>
      </c>
      <c r="AE95" s="2">
        <v>1</v>
      </c>
      <c r="AF95" s="2">
        <v>1</v>
      </c>
      <c r="AG95" s="2">
        <v>2</v>
      </c>
      <c r="AH95" s="2">
        <v>2</v>
      </c>
      <c r="AI95" t="s">
        <v>93</v>
      </c>
    </row>
    <row r="96" spans="1:35" x14ac:dyDescent="0.3">
      <c r="A96" s="2" t="s">
        <v>35</v>
      </c>
      <c r="B96" s="2" t="s">
        <v>341</v>
      </c>
      <c r="C96" s="2" t="s">
        <v>342</v>
      </c>
      <c r="D96" s="2" t="s">
        <v>43</v>
      </c>
      <c r="E96" s="2" t="s">
        <v>343</v>
      </c>
      <c r="F96" s="2">
        <v>2014</v>
      </c>
      <c r="G96" s="2">
        <v>6</v>
      </c>
      <c r="H96" s="2">
        <v>0</v>
      </c>
      <c r="I96" s="2">
        <v>6</v>
      </c>
      <c r="J96" s="2">
        <v>6</v>
      </c>
      <c r="K96" s="2">
        <v>6</v>
      </c>
      <c r="L96" s="2">
        <f t="shared" ca="1" si="8"/>
        <v>12</v>
      </c>
      <c r="M96" s="2">
        <v>1</v>
      </c>
      <c r="N96" s="2">
        <v>0</v>
      </c>
      <c r="O96" s="2">
        <v>3</v>
      </c>
      <c r="P96" s="2">
        <f t="shared" ca="1" si="9"/>
        <v>8.3333333333333329E-2</v>
      </c>
      <c r="Q96" s="2">
        <f t="shared" ca="1" si="10"/>
        <v>68.055555555555557</v>
      </c>
      <c r="R96" s="2">
        <v>0.40820000000000001</v>
      </c>
      <c r="S96" s="2">
        <f t="shared" si="15"/>
        <v>67.074866666666665</v>
      </c>
      <c r="T96" s="2">
        <v>1</v>
      </c>
      <c r="U96" s="2">
        <v>1</v>
      </c>
      <c r="V96" s="2">
        <v>2</v>
      </c>
      <c r="W96" s="2">
        <f t="shared" si="11"/>
        <v>1.4142135623730951</v>
      </c>
      <c r="X96" s="2">
        <v>1</v>
      </c>
      <c r="Y96" s="2">
        <f t="shared" si="12"/>
        <v>1</v>
      </c>
      <c r="Z96" s="2">
        <v>2</v>
      </c>
      <c r="AA96" s="2">
        <f t="shared" si="13"/>
        <v>1.4142135623730951</v>
      </c>
      <c r="AB96" s="2">
        <f t="shared" si="14"/>
        <v>1</v>
      </c>
      <c r="AC96" s="2">
        <v>1.4141999999999999</v>
      </c>
      <c r="AD96" s="2">
        <v>1</v>
      </c>
      <c r="AE96" s="2">
        <v>0</v>
      </c>
      <c r="AF96" s="2">
        <v>0</v>
      </c>
      <c r="AG96" s="2">
        <v>0</v>
      </c>
      <c r="AH96" s="2">
        <v>1</v>
      </c>
      <c r="AI96" t="s">
        <v>45</v>
      </c>
    </row>
    <row r="97" spans="1:35" x14ac:dyDescent="0.3">
      <c r="A97" s="2" t="s">
        <v>35</v>
      </c>
      <c r="B97" s="2" t="s">
        <v>344</v>
      </c>
      <c r="C97" s="2" t="s">
        <v>345</v>
      </c>
      <c r="D97" s="2" t="s">
        <v>43</v>
      </c>
      <c r="E97" s="2" t="s">
        <v>346</v>
      </c>
      <c r="F97" s="2">
        <v>2015</v>
      </c>
      <c r="G97" s="2">
        <v>6</v>
      </c>
      <c r="H97" s="2">
        <v>0</v>
      </c>
      <c r="I97" s="2">
        <v>6</v>
      </c>
      <c r="J97" s="2">
        <v>6</v>
      </c>
      <c r="K97" s="2">
        <v>6</v>
      </c>
      <c r="L97" s="2">
        <f t="shared" ca="1" si="8"/>
        <v>11</v>
      </c>
      <c r="M97" s="2">
        <v>1</v>
      </c>
      <c r="N97" s="2">
        <v>0</v>
      </c>
      <c r="O97" s="2">
        <v>5</v>
      </c>
      <c r="P97" s="2">
        <f t="shared" ca="1" si="9"/>
        <v>9.0909090909090912E-2</v>
      </c>
      <c r="Q97" s="2">
        <f t="shared" ca="1" si="10"/>
        <v>68.181818181818187</v>
      </c>
      <c r="R97" s="2">
        <v>1.1547000000000001</v>
      </c>
      <c r="S97" s="2">
        <f t="shared" si="15"/>
        <v>67.821366666666677</v>
      </c>
      <c r="T97" s="2">
        <v>1</v>
      </c>
      <c r="U97" s="2">
        <v>2</v>
      </c>
      <c r="V97" s="2">
        <v>4</v>
      </c>
      <c r="W97" s="2">
        <f t="shared" si="11"/>
        <v>2</v>
      </c>
      <c r="X97" s="2">
        <v>1</v>
      </c>
      <c r="Y97" s="2">
        <f t="shared" si="12"/>
        <v>1.4142135623730951</v>
      </c>
      <c r="Z97" s="2">
        <v>4</v>
      </c>
      <c r="AA97" s="2">
        <f t="shared" si="13"/>
        <v>2</v>
      </c>
      <c r="AB97" s="2">
        <f t="shared" si="14"/>
        <v>1.7320508075688772</v>
      </c>
      <c r="AC97" s="2">
        <v>2</v>
      </c>
      <c r="AD97" s="2">
        <v>1</v>
      </c>
      <c r="AE97" s="2">
        <v>0</v>
      </c>
      <c r="AF97" s="2">
        <v>0</v>
      </c>
      <c r="AG97" s="2">
        <v>0</v>
      </c>
      <c r="AH97" s="2">
        <v>1</v>
      </c>
      <c r="AI97" t="s">
        <v>45</v>
      </c>
    </row>
    <row r="98" spans="1:35" x14ac:dyDescent="0.3">
      <c r="A98" s="2" t="s">
        <v>35</v>
      </c>
      <c r="B98" s="2" t="s">
        <v>347</v>
      </c>
      <c r="C98" s="2" t="s">
        <v>348</v>
      </c>
      <c r="D98" s="2" t="s">
        <v>38</v>
      </c>
      <c r="E98" s="2" t="s">
        <v>349</v>
      </c>
      <c r="F98" s="2">
        <v>2010</v>
      </c>
      <c r="G98" s="2">
        <v>87</v>
      </c>
      <c r="H98" s="2">
        <v>35</v>
      </c>
      <c r="I98" s="2">
        <v>29</v>
      </c>
      <c r="J98" s="2">
        <v>28</v>
      </c>
      <c r="K98" s="2">
        <v>41</v>
      </c>
      <c r="L98" s="2">
        <f t="shared" ca="1" si="8"/>
        <v>16</v>
      </c>
      <c r="M98" s="2">
        <v>17</v>
      </c>
      <c r="N98" s="2">
        <v>25</v>
      </c>
      <c r="O98" s="2">
        <v>874</v>
      </c>
      <c r="P98" s="2">
        <f t="shared" ca="1" si="9"/>
        <v>1.0625</v>
      </c>
      <c r="Q98" s="2">
        <f t="shared" ca="1" si="10"/>
        <v>40.301724137931032</v>
      </c>
      <c r="R98" s="2">
        <v>8.8842999999999996</v>
      </c>
      <c r="S98" s="2">
        <f t="shared" si="15"/>
        <v>47.964759770114938</v>
      </c>
      <c r="T98" s="2">
        <v>17</v>
      </c>
      <c r="U98" s="2">
        <v>26</v>
      </c>
      <c r="V98" s="2">
        <v>35.235300000000002</v>
      </c>
      <c r="W98" s="2">
        <f t="shared" si="11"/>
        <v>24.474478543985366</v>
      </c>
      <c r="X98" s="2">
        <v>5</v>
      </c>
      <c r="Y98" s="2">
        <f t="shared" si="12"/>
        <v>21.023796041628639</v>
      </c>
      <c r="Z98" s="2">
        <v>27</v>
      </c>
      <c r="AA98" s="2">
        <f t="shared" si="13"/>
        <v>21.42428528562855</v>
      </c>
      <c r="AB98" s="2">
        <f t="shared" si="14"/>
        <v>17.606819701467955</v>
      </c>
      <c r="AC98" s="2">
        <v>62.417900000000003</v>
      </c>
      <c r="AD98" s="2">
        <v>14</v>
      </c>
      <c r="AE98" s="2">
        <v>5</v>
      </c>
      <c r="AF98" s="2">
        <v>5</v>
      </c>
      <c r="AG98" s="2">
        <v>9</v>
      </c>
      <c r="AH98" s="2">
        <v>11</v>
      </c>
      <c r="AI98" t="s">
        <v>40</v>
      </c>
    </row>
    <row r="99" spans="1:35" x14ac:dyDescent="0.3">
      <c r="A99" s="2" t="s">
        <v>35</v>
      </c>
      <c r="B99" s="2" t="s">
        <v>350</v>
      </c>
      <c r="C99" s="2" t="s">
        <v>351</v>
      </c>
      <c r="D99" s="2" t="s">
        <v>99</v>
      </c>
      <c r="E99" s="2" t="s">
        <v>352</v>
      </c>
      <c r="F99" s="2">
        <v>1996</v>
      </c>
      <c r="G99" s="2">
        <v>268</v>
      </c>
      <c r="H99" s="2">
        <v>93</v>
      </c>
      <c r="I99" s="2">
        <v>72</v>
      </c>
      <c r="J99" s="2">
        <v>36</v>
      </c>
      <c r="K99" s="2">
        <v>92</v>
      </c>
      <c r="L99" s="2">
        <f t="shared" ca="1" si="8"/>
        <v>30</v>
      </c>
      <c r="M99" s="2">
        <v>33</v>
      </c>
      <c r="N99" s="2">
        <v>96</v>
      </c>
      <c r="O99" s="2">
        <v>4640</v>
      </c>
      <c r="P99" s="2">
        <f t="shared" ca="1" si="9"/>
        <v>1.1000000000000001</v>
      </c>
      <c r="Q99" s="2">
        <f t="shared" ca="1" si="10"/>
        <v>26.417910447761194</v>
      </c>
      <c r="R99" s="2">
        <v>20.600999999999999</v>
      </c>
      <c r="S99" s="2">
        <f t="shared" si="15"/>
        <v>46.608462686567165</v>
      </c>
      <c r="T99" s="2">
        <v>33</v>
      </c>
      <c r="U99" s="2">
        <v>62</v>
      </c>
      <c r="V99" s="2">
        <v>93.636399999999995</v>
      </c>
      <c r="W99" s="2">
        <f t="shared" si="11"/>
        <v>55.587779232489581</v>
      </c>
      <c r="X99" s="2">
        <v>9</v>
      </c>
      <c r="Y99" s="2">
        <f t="shared" si="12"/>
        <v>45.232731511594565</v>
      </c>
      <c r="Z99" s="2">
        <v>62</v>
      </c>
      <c r="AA99" s="2">
        <f t="shared" si="13"/>
        <v>45.232731511594565</v>
      </c>
      <c r="AB99" s="2">
        <f t="shared" si="14"/>
        <v>44.732551905743087</v>
      </c>
      <c r="AC99" s="2">
        <v>179.81659999999999</v>
      </c>
      <c r="AD99" s="2">
        <v>22</v>
      </c>
      <c r="AE99" s="2">
        <v>13</v>
      </c>
      <c r="AF99" s="2">
        <v>17</v>
      </c>
      <c r="AG99" s="2">
        <v>25</v>
      </c>
      <c r="AH99" s="2">
        <v>13</v>
      </c>
      <c r="AI99" t="s">
        <v>45</v>
      </c>
    </row>
    <row r="100" spans="1:35" x14ac:dyDescent="0.3">
      <c r="A100" s="2" t="s">
        <v>35</v>
      </c>
      <c r="B100" s="2" t="s">
        <v>353</v>
      </c>
      <c r="C100" s="2" t="s">
        <v>354</v>
      </c>
      <c r="D100" s="2" t="s">
        <v>51</v>
      </c>
      <c r="E100" s="2" t="s">
        <v>355</v>
      </c>
      <c r="F100" s="2">
        <v>1990</v>
      </c>
      <c r="G100" s="2">
        <v>80</v>
      </c>
      <c r="H100" s="2">
        <v>33</v>
      </c>
      <c r="I100" s="2">
        <v>34</v>
      </c>
      <c r="J100" s="2">
        <v>7</v>
      </c>
      <c r="K100" s="2">
        <v>35</v>
      </c>
      <c r="L100" s="2">
        <f t="shared" ca="1" si="8"/>
        <v>36</v>
      </c>
      <c r="M100" s="2">
        <v>14</v>
      </c>
      <c r="N100" s="2">
        <v>17</v>
      </c>
      <c r="O100" s="2">
        <v>814</v>
      </c>
      <c r="P100" s="2">
        <f t="shared" ca="1" si="9"/>
        <v>0.3888888888888889</v>
      </c>
      <c r="Q100" s="2">
        <f t="shared" ca="1" si="10"/>
        <v>35.736111111111114</v>
      </c>
      <c r="R100" s="2">
        <v>6.7271000000000001</v>
      </c>
      <c r="S100" s="2">
        <f t="shared" si="15"/>
        <v>41.9771</v>
      </c>
      <c r="T100" s="2">
        <v>14</v>
      </c>
      <c r="U100" s="2">
        <v>27</v>
      </c>
      <c r="V100" s="2">
        <v>48</v>
      </c>
      <c r="W100" s="2">
        <f t="shared" si="11"/>
        <v>25.922962793631442</v>
      </c>
      <c r="X100" s="2">
        <v>6</v>
      </c>
      <c r="Y100" s="2">
        <f t="shared" si="12"/>
        <v>19.442222095223581</v>
      </c>
      <c r="Z100" s="2">
        <v>32</v>
      </c>
      <c r="AA100" s="2">
        <f t="shared" si="13"/>
        <v>21.166010488516726</v>
      </c>
      <c r="AB100" s="2">
        <f t="shared" si="14"/>
        <v>21.817424229271428</v>
      </c>
      <c r="AC100" s="2">
        <v>56.797899999999998</v>
      </c>
      <c r="AD100" s="2">
        <v>9</v>
      </c>
      <c r="AE100" s="2">
        <v>7</v>
      </c>
      <c r="AF100" s="2">
        <v>5</v>
      </c>
      <c r="AG100" s="2">
        <v>10</v>
      </c>
      <c r="AH100" s="2">
        <v>2</v>
      </c>
      <c r="AI100" t="s">
        <v>40</v>
      </c>
    </row>
    <row r="101" spans="1:35" x14ac:dyDescent="0.3">
      <c r="A101" s="2" t="s">
        <v>35</v>
      </c>
      <c r="B101" s="2" t="s">
        <v>356</v>
      </c>
      <c r="C101" s="2" t="s">
        <v>357</v>
      </c>
      <c r="D101" s="2" t="s">
        <v>43</v>
      </c>
      <c r="E101" s="2" t="s">
        <v>358</v>
      </c>
      <c r="F101" s="2">
        <v>2002</v>
      </c>
      <c r="G101" s="2">
        <v>44</v>
      </c>
      <c r="H101" s="2">
        <v>0</v>
      </c>
      <c r="I101" s="2">
        <v>20</v>
      </c>
      <c r="J101" s="2">
        <v>14</v>
      </c>
      <c r="K101" s="2">
        <v>20</v>
      </c>
      <c r="L101" s="2">
        <f t="shared" ca="1" si="8"/>
        <v>24</v>
      </c>
      <c r="M101" s="2">
        <v>6</v>
      </c>
      <c r="N101" s="2">
        <v>4</v>
      </c>
      <c r="O101" s="2">
        <v>145</v>
      </c>
      <c r="P101" s="2">
        <f t="shared" ca="1" si="9"/>
        <v>0.25</v>
      </c>
      <c r="Q101" s="2">
        <f t="shared" ca="1" si="10"/>
        <v>36.931818181818187</v>
      </c>
      <c r="R101" s="2">
        <v>4.9565000000000001</v>
      </c>
      <c r="S101" s="2">
        <f t="shared" si="15"/>
        <v>41.320136363636365</v>
      </c>
      <c r="T101" s="2">
        <v>6</v>
      </c>
      <c r="U101" s="2">
        <v>11</v>
      </c>
      <c r="V101" s="2">
        <v>19.166699999999999</v>
      </c>
      <c r="W101" s="2">
        <f t="shared" si="11"/>
        <v>10.723814619807635</v>
      </c>
      <c r="X101" s="2">
        <v>3</v>
      </c>
      <c r="Y101" s="2">
        <f t="shared" si="12"/>
        <v>8.1240384046359608</v>
      </c>
      <c r="Z101" s="2">
        <v>16</v>
      </c>
      <c r="AA101" s="2">
        <f t="shared" si="13"/>
        <v>9.7979589711327115</v>
      </c>
      <c r="AB101" s="2">
        <f t="shared" si="14"/>
        <v>8.8882056681874761</v>
      </c>
      <c r="AC101" s="2">
        <v>16.673300000000001</v>
      </c>
      <c r="AD101" s="2">
        <v>5</v>
      </c>
      <c r="AE101" s="2">
        <v>1</v>
      </c>
      <c r="AF101" s="2">
        <v>2</v>
      </c>
      <c r="AG101" s="2">
        <v>4</v>
      </c>
      <c r="AH101" s="2">
        <v>3</v>
      </c>
      <c r="AI101" t="s">
        <v>45</v>
      </c>
    </row>
    <row r="102" spans="1:35" x14ac:dyDescent="0.3">
      <c r="A102" s="2" t="s">
        <v>35</v>
      </c>
      <c r="B102" s="2" t="s">
        <v>359</v>
      </c>
      <c r="C102" s="2" t="s">
        <v>360</v>
      </c>
      <c r="D102" s="2" t="s">
        <v>109</v>
      </c>
      <c r="E102" s="2" t="s">
        <v>361</v>
      </c>
      <c r="F102" s="2">
        <v>1996</v>
      </c>
      <c r="G102" s="2">
        <v>54</v>
      </c>
      <c r="H102" s="2">
        <v>7</v>
      </c>
      <c r="I102" s="2">
        <v>11</v>
      </c>
      <c r="J102" s="2">
        <v>6</v>
      </c>
      <c r="K102" s="2">
        <v>12</v>
      </c>
      <c r="L102" s="2">
        <f t="shared" ca="1" si="8"/>
        <v>30</v>
      </c>
      <c r="M102" s="2">
        <v>8</v>
      </c>
      <c r="N102" s="2">
        <v>7</v>
      </c>
      <c r="O102" s="2">
        <v>316</v>
      </c>
      <c r="P102" s="2">
        <f t="shared" ca="1" si="9"/>
        <v>0.26666666666666666</v>
      </c>
      <c r="Q102" s="2">
        <f t="shared" ca="1" si="10"/>
        <v>25.123456790123459</v>
      </c>
      <c r="R102" s="2">
        <v>3.8090000000000002</v>
      </c>
      <c r="S102" s="2">
        <f t="shared" si="15"/>
        <v>28.438629629629631</v>
      </c>
      <c r="T102" s="2">
        <v>8</v>
      </c>
      <c r="U102" s="2">
        <v>16</v>
      </c>
      <c r="V102" s="2">
        <v>28.875</v>
      </c>
      <c r="W102" s="2">
        <f t="shared" si="11"/>
        <v>15.198684153570664</v>
      </c>
      <c r="X102" s="2">
        <v>4</v>
      </c>
      <c r="Y102" s="2">
        <f t="shared" si="12"/>
        <v>11.313708498984761</v>
      </c>
      <c r="Z102" s="2">
        <v>19</v>
      </c>
      <c r="AA102" s="2">
        <f t="shared" si="13"/>
        <v>12.328828005937952</v>
      </c>
      <c r="AB102" s="2">
        <f t="shared" si="14"/>
        <v>12.922847983320086</v>
      </c>
      <c r="AC102" s="2">
        <v>25.6905</v>
      </c>
      <c r="AD102" s="2">
        <v>6</v>
      </c>
      <c r="AE102" s="2">
        <v>2</v>
      </c>
      <c r="AF102" s="2">
        <v>5</v>
      </c>
      <c r="AG102" s="2">
        <v>4</v>
      </c>
      <c r="AH102" s="2">
        <v>3</v>
      </c>
      <c r="AI102" t="s">
        <v>93</v>
      </c>
    </row>
    <row r="103" spans="1:35" x14ac:dyDescent="0.3">
      <c r="A103" s="2" t="s">
        <v>35</v>
      </c>
      <c r="B103" s="2" t="s">
        <v>362</v>
      </c>
      <c r="C103" s="2" t="s">
        <v>363</v>
      </c>
      <c r="D103" s="2" t="s">
        <v>51</v>
      </c>
      <c r="E103" s="2" t="s">
        <v>364</v>
      </c>
      <c r="F103" s="2">
        <v>1994</v>
      </c>
      <c r="G103" s="2">
        <v>93</v>
      </c>
      <c r="H103" s="2">
        <v>62</v>
      </c>
      <c r="I103" s="2">
        <v>14</v>
      </c>
      <c r="J103" s="2">
        <v>30</v>
      </c>
      <c r="K103" s="2">
        <v>44</v>
      </c>
      <c r="L103" s="2">
        <f t="shared" ca="1" si="8"/>
        <v>32</v>
      </c>
      <c r="M103" s="2">
        <v>41</v>
      </c>
      <c r="N103" s="2">
        <v>65</v>
      </c>
      <c r="O103" s="2">
        <v>5233</v>
      </c>
      <c r="P103" s="2">
        <f t="shared" ca="1" si="9"/>
        <v>1.28125</v>
      </c>
      <c r="Q103" s="2">
        <f t="shared" ca="1" si="10"/>
        <v>62.452956989247305</v>
      </c>
      <c r="R103" s="2">
        <v>17.5307</v>
      </c>
      <c r="S103" s="2">
        <f t="shared" si="15"/>
        <v>78.6059688172043</v>
      </c>
      <c r="T103" s="2">
        <v>41</v>
      </c>
      <c r="U103" s="2">
        <v>72</v>
      </c>
      <c r="V103" s="2">
        <v>113.51220000000001</v>
      </c>
      <c r="W103" s="2">
        <f t="shared" si="11"/>
        <v>68.220233069082965</v>
      </c>
      <c r="X103" s="2">
        <v>10</v>
      </c>
      <c r="Y103" s="2">
        <f t="shared" si="12"/>
        <v>54.332310828824497</v>
      </c>
      <c r="Z103" s="2">
        <v>64</v>
      </c>
      <c r="AA103" s="2">
        <f t="shared" si="13"/>
        <v>51.224993899462788</v>
      </c>
      <c r="AB103" s="2">
        <f t="shared" si="14"/>
        <v>54.525225354875886</v>
      </c>
      <c r="AC103" s="2">
        <v>232.8734</v>
      </c>
      <c r="AD103" s="2">
        <v>28</v>
      </c>
      <c r="AE103" s="2">
        <v>8</v>
      </c>
      <c r="AF103" s="2">
        <v>3</v>
      </c>
      <c r="AG103" s="2">
        <v>22</v>
      </c>
      <c r="AH103" s="2">
        <v>22</v>
      </c>
      <c r="AI103" t="s">
        <v>40</v>
      </c>
    </row>
    <row r="104" spans="1:35" x14ac:dyDescent="0.3">
      <c r="A104" s="2" t="s">
        <v>35</v>
      </c>
      <c r="B104" s="2" t="s">
        <v>365</v>
      </c>
      <c r="C104" s="2" t="s">
        <v>366</v>
      </c>
      <c r="D104" s="2" t="s">
        <v>38</v>
      </c>
      <c r="E104" s="2" t="s">
        <v>367</v>
      </c>
      <c r="F104" s="2">
        <v>2021</v>
      </c>
      <c r="G104" s="2">
        <v>15</v>
      </c>
      <c r="H104" s="2">
        <v>13</v>
      </c>
      <c r="I104" s="2">
        <v>3</v>
      </c>
      <c r="J104" s="2">
        <v>1</v>
      </c>
      <c r="K104" s="2">
        <v>3</v>
      </c>
      <c r="L104" s="2">
        <f t="shared" ca="1" si="8"/>
        <v>5</v>
      </c>
      <c r="M104" s="2">
        <v>2</v>
      </c>
      <c r="N104" s="2">
        <v>0</v>
      </c>
      <c r="O104" s="2">
        <v>18</v>
      </c>
      <c r="P104" s="2">
        <f t="shared" ca="1" si="9"/>
        <v>0.4</v>
      </c>
      <c r="Q104" s="2">
        <f t="shared" ca="1" si="10"/>
        <v>17.333333333333336</v>
      </c>
      <c r="R104" s="2">
        <v>1.6278999999999999</v>
      </c>
      <c r="S104" s="2">
        <f t="shared" si="15"/>
        <v>16.294566666666668</v>
      </c>
      <c r="T104" s="2">
        <v>2</v>
      </c>
      <c r="U104" s="2">
        <v>4</v>
      </c>
      <c r="V104" s="2">
        <v>6</v>
      </c>
      <c r="W104" s="2">
        <f t="shared" si="11"/>
        <v>3.4641016151377544</v>
      </c>
      <c r="X104" s="2">
        <v>2</v>
      </c>
      <c r="Y104" s="2">
        <f t="shared" si="12"/>
        <v>2.8284271247461903</v>
      </c>
      <c r="Z104" s="2">
        <v>6</v>
      </c>
      <c r="AA104" s="2">
        <f t="shared" si="13"/>
        <v>3.4641016151377544</v>
      </c>
      <c r="AB104" s="2">
        <f t="shared" si="14"/>
        <v>2.8284271247461903</v>
      </c>
      <c r="AC104" s="2">
        <v>4.1231</v>
      </c>
      <c r="AD104" s="2">
        <v>1</v>
      </c>
      <c r="AE104" s="2">
        <v>0</v>
      </c>
      <c r="AF104" s="2">
        <v>1</v>
      </c>
      <c r="AG104" s="2">
        <v>2</v>
      </c>
      <c r="AH104" s="2">
        <v>1</v>
      </c>
      <c r="AI104" t="s">
        <v>40</v>
      </c>
    </row>
    <row r="105" spans="1:35" x14ac:dyDescent="0.3">
      <c r="A105" s="2" t="s">
        <v>35</v>
      </c>
      <c r="B105" s="2" t="s">
        <v>368</v>
      </c>
      <c r="C105" s="2" t="s">
        <v>369</v>
      </c>
      <c r="D105" s="2" t="s">
        <v>91</v>
      </c>
      <c r="E105" s="2" t="s">
        <v>370</v>
      </c>
      <c r="F105" s="2">
        <v>1992</v>
      </c>
      <c r="G105" s="2">
        <v>102</v>
      </c>
      <c r="H105" s="2">
        <v>6</v>
      </c>
      <c r="I105" s="2">
        <v>52</v>
      </c>
      <c r="J105" s="2">
        <v>45</v>
      </c>
      <c r="K105" s="2">
        <v>56</v>
      </c>
      <c r="L105" s="2">
        <f t="shared" ca="1" si="8"/>
        <v>34</v>
      </c>
      <c r="M105" s="2">
        <v>16</v>
      </c>
      <c r="N105" s="2">
        <v>22</v>
      </c>
      <c r="O105" s="2">
        <v>1090</v>
      </c>
      <c r="P105" s="2">
        <f t="shared" ca="1" si="9"/>
        <v>0.47058823529411764</v>
      </c>
      <c r="Q105" s="2">
        <f t="shared" ca="1" si="10"/>
        <v>43.010380622837367</v>
      </c>
      <c r="R105" s="2">
        <v>8.8277000000000001</v>
      </c>
      <c r="S105" s="2">
        <f t="shared" si="15"/>
        <v>51.376719607843135</v>
      </c>
      <c r="T105" s="2">
        <v>16</v>
      </c>
      <c r="U105" s="2">
        <v>31</v>
      </c>
      <c r="V105" s="2">
        <v>54.25</v>
      </c>
      <c r="W105" s="2">
        <f t="shared" si="11"/>
        <v>29.461839725312469</v>
      </c>
      <c r="X105" s="2">
        <v>7</v>
      </c>
      <c r="Y105" s="2">
        <f t="shared" si="12"/>
        <v>22.271057451320086</v>
      </c>
      <c r="Z105" s="2">
        <v>48.5</v>
      </c>
      <c r="AA105" s="2">
        <f t="shared" si="13"/>
        <v>27.856776554368238</v>
      </c>
      <c r="AB105" s="2">
        <f t="shared" si="14"/>
        <v>24.738633753705962</v>
      </c>
      <c r="AC105" s="2">
        <v>71.449299999999994</v>
      </c>
      <c r="AD105" s="2">
        <v>12</v>
      </c>
      <c r="AE105" s="2">
        <v>5</v>
      </c>
      <c r="AF105" s="2">
        <v>10</v>
      </c>
      <c r="AG105" s="2">
        <v>6</v>
      </c>
      <c r="AH105" s="2">
        <v>6</v>
      </c>
      <c r="AI105" t="s">
        <v>93</v>
      </c>
    </row>
    <row r="106" spans="1:35" x14ac:dyDescent="0.3">
      <c r="A106" s="2" t="s">
        <v>35</v>
      </c>
      <c r="B106" s="2" t="s">
        <v>371</v>
      </c>
      <c r="C106" s="2" t="s">
        <v>372</v>
      </c>
      <c r="D106" s="2" t="s">
        <v>38</v>
      </c>
      <c r="E106" s="2" t="s">
        <v>373</v>
      </c>
      <c r="F106" s="2">
        <v>2007</v>
      </c>
      <c r="G106" s="2">
        <v>70</v>
      </c>
      <c r="H106" s="2">
        <v>24</v>
      </c>
      <c r="I106" s="2">
        <v>20</v>
      </c>
      <c r="J106" s="2">
        <v>13</v>
      </c>
      <c r="K106" s="2">
        <v>29</v>
      </c>
      <c r="L106" s="2">
        <f t="shared" ca="1" si="8"/>
        <v>19</v>
      </c>
      <c r="M106" s="2">
        <v>7</v>
      </c>
      <c r="N106" s="2">
        <v>3</v>
      </c>
      <c r="O106" s="2">
        <v>158</v>
      </c>
      <c r="P106" s="2">
        <f t="shared" ca="1" si="9"/>
        <v>0.36842105263157893</v>
      </c>
      <c r="Q106" s="2">
        <f t="shared" ca="1" si="10"/>
        <v>27.812030075187973</v>
      </c>
      <c r="R106" s="2">
        <v>4.0758000000000001</v>
      </c>
      <c r="S106" s="2">
        <f t="shared" si="15"/>
        <v>31.361514285714289</v>
      </c>
      <c r="T106" s="2">
        <v>7</v>
      </c>
      <c r="U106" s="2">
        <v>10</v>
      </c>
      <c r="V106" s="2">
        <v>14.857100000000001</v>
      </c>
      <c r="W106" s="2">
        <f t="shared" si="11"/>
        <v>10.198024318464828</v>
      </c>
      <c r="X106" s="2">
        <v>3</v>
      </c>
      <c r="Y106" s="2">
        <f t="shared" si="12"/>
        <v>8.3666002653407556</v>
      </c>
      <c r="Z106" s="2">
        <v>9</v>
      </c>
      <c r="AA106" s="2">
        <f t="shared" si="13"/>
        <v>7.9372539331937721</v>
      </c>
      <c r="AB106" s="2">
        <f t="shared" si="14"/>
        <v>7.4161782610722087</v>
      </c>
      <c r="AC106" s="2">
        <v>17.175599999999999</v>
      </c>
      <c r="AD106" s="2">
        <v>5</v>
      </c>
      <c r="AE106" s="2">
        <v>2</v>
      </c>
      <c r="AF106" s="2">
        <v>0</v>
      </c>
      <c r="AG106" s="2">
        <v>4</v>
      </c>
      <c r="AH106" s="2">
        <v>5</v>
      </c>
      <c r="AI106" t="s">
        <v>40</v>
      </c>
    </row>
    <row r="107" spans="1:35" x14ac:dyDescent="0.3">
      <c r="A107" s="2" t="s">
        <v>35</v>
      </c>
      <c r="B107" s="2" t="s">
        <v>374</v>
      </c>
      <c r="C107" s="2" t="s">
        <v>375</v>
      </c>
      <c r="D107" s="2" t="s">
        <v>43</v>
      </c>
      <c r="E107" s="2" t="s">
        <v>376</v>
      </c>
      <c r="F107" s="2">
        <v>2010</v>
      </c>
      <c r="G107" s="2">
        <v>11</v>
      </c>
      <c r="H107" s="2">
        <v>1</v>
      </c>
      <c r="I107" s="2">
        <v>10</v>
      </c>
      <c r="J107" s="2">
        <v>10</v>
      </c>
      <c r="K107" s="2">
        <v>10</v>
      </c>
      <c r="L107" s="2">
        <f t="shared" ca="1" si="8"/>
        <v>16</v>
      </c>
      <c r="M107" s="2">
        <v>2</v>
      </c>
      <c r="N107" s="2">
        <v>0</v>
      </c>
      <c r="O107" s="2">
        <v>11</v>
      </c>
      <c r="P107" s="2">
        <f t="shared" ca="1" si="9"/>
        <v>0.125</v>
      </c>
      <c r="Q107" s="2">
        <f t="shared" ca="1" si="10"/>
        <v>63.863636363636374</v>
      </c>
      <c r="R107" s="2">
        <v>1.5</v>
      </c>
      <c r="S107" s="2">
        <f t="shared" si="15"/>
        <v>64.227272727272734</v>
      </c>
      <c r="T107" s="2">
        <v>2</v>
      </c>
      <c r="U107" s="2">
        <v>3</v>
      </c>
      <c r="V107" s="2">
        <v>4</v>
      </c>
      <c r="W107" s="2">
        <f t="shared" si="11"/>
        <v>2.8284271247461903</v>
      </c>
      <c r="X107" s="2">
        <v>1</v>
      </c>
      <c r="Y107" s="2">
        <f t="shared" si="12"/>
        <v>2.4494897427831779</v>
      </c>
      <c r="Z107" s="2">
        <v>4</v>
      </c>
      <c r="AA107" s="2">
        <f t="shared" si="13"/>
        <v>2.8284271247461903</v>
      </c>
      <c r="AB107" s="2">
        <f t="shared" si="14"/>
        <v>2</v>
      </c>
      <c r="AC107" s="2">
        <v>3.3166000000000002</v>
      </c>
      <c r="AD107" s="2">
        <v>1</v>
      </c>
      <c r="AE107" s="2">
        <v>0</v>
      </c>
      <c r="AF107" s="2">
        <v>0</v>
      </c>
      <c r="AG107" s="2">
        <v>1</v>
      </c>
      <c r="AH107" s="2">
        <v>1</v>
      </c>
      <c r="AI107" t="s">
        <v>45</v>
      </c>
    </row>
    <row r="108" spans="1:35" x14ac:dyDescent="0.3">
      <c r="A108" s="2" t="s">
        <v>35</v>
      </c>
      <c r="B108" s="2" t="s">
        <v>377</v>
      </c>
      <c r="C108" s="2" t="s">
        <v>378</v>
      </c>
      <c r="D108" s="2" t="s">
        <v>55</v>
      </c>
      <c r="E108" s="2" t="s">
        <v>379</v>
      </c>
      <c r="F108" s="2">
        <v>1994</v>
      </c>
      <c r="G108" s="2">
        <v>8</v>
      </c>
      <c r="H108" s="2">
        <v>0</v>
      </c>
      <c r="I108" s="2">
        <v>7</v>
      </c>
      <c r="J108" s="2">
        <v>7</v>
      </c>
      <c r="K108" s="2">
        <v>7</v>
      </c>
      <c r="L108" s="2">
        <f t="shared" ca="1" si="8"/>
        <v>32</v>
      </c>
      <c r="M108" s="2">
        <v>1</v>
      </c>
      <c r="N108" s="2">
        <v>1</v>
      </c>
      <c r="O108" s="2">
        <v>61</v>
      </c>
      <c r="P108" s="2">
        <f t="shared" ca="1" si="9"/>
        <v>3.125E-2</v>
      </c>
      <c r="Q108" s="2">
        <f t="shared" ca="1" si="10"/>
        <v>56.640625</v>
      </c>
      <c r="R108" s="2">
        <v>1.5064</v>
      </c>
      <c r="S108" s="2">
        <f t="shared" si="15"/>
        <v>57.756399999999999</v>
      </c>
      <c r="T108" s="2">
        <v>1</v>
      </c>
      <c r="U108" s="2">
        <v>7</v>
      </c>
      <c r="V108" s="2">
        <v>59</v>
      </c>
      <c r="W108" s="2">
        <f t="shared" si="11"/>
        <v>7.6811457478686078</v>
      </c>
      <c r="X108" s="2">
        <v>1</v>
      </c>
      <c r="Y108" s="2">
        <f t="shared" si="12"/>
        <v>2.6457513110645907</v>
      </c>
      <c r="Z108" s="2">
        <v>59</v>
      </c>
      <c r="AA108" s="2">
        <f t="shared" si="13"/>
        <v>7.6811457478686078</v>
      </c>
      <c r="AB108" s="2">
        <f t="shared" si="14"/>
        <v>7.6157731058639087</v>
      </c>
      <c r="AC108" s="2">
        <v>7.6810999999999998</v>
      </c>
      <c r="AD108" s="2">
        <v>1</v>
      </c>
      <c r="AE108" s="2">
        <v>0</v>
      </c>
      <c r="AF108" s="2">
        <v>0</v>
      </c>
      <c r="AG108" s="2">
        <v>1</v>
      </c>
      <c r="AH108" s="2">
        <v>1</v>
      </c>
      <c r="AI108" t="s">
        <v>45</v>
      </c>
    </row>
    <row r="109" spans="1:35" x14ac:dyDescent="0.3">
      <c r="A109" s="2" t="s">
        <v>35</v>
      </c>
      <c r="B109" s="2" t="s">
        <v>380</v>
      </c>
      <c r="C109" s="2" t="s">
        <v>381</v>
      </c>
      <c r="D109" s="2" t="s">
        <v>99</v>
      </c>
      <c r="E109" s="2" t="s">
        <v>382</v>
      </c>
      <c r="F109" s="2">
        <v>2009</v>
      </c>
      <c r="G109" s="2">
        <v>4</v>
      </c>
      <c r="H109" s="2">
        <v>3</v>
      </c>
      <c r="I109" s="2">
        <v>1</v>
      </c>
      <c r="J109" s="2">
        <v>0</v>
      </c>
      <c r="K109" s="2">
        <v>1</v>
      </c>
      <c r="L109" s="2">
        <f t="shared" ca="1" si="8"/>
        <v>17</v>
      </c>
      <c r="M109" s="2">
        <v>2</v>
      </c>
      <c r="N109" s="2">
        <v>2</v>
      </c>
      <c r="O109" s="2">
        <v>40</v>
      </c>
      <c r="P109" s="2">
        <f t="shared" ca="1" si="9"/>
        <v>0.11764705882352941</v>
      </c>
      <c r="Q109" s="2">
        <f t="shared" ca="1" si="10"/>
        <v>57.941176470588239</v>
      </c>
      <c r="R109" s="2">
        <v>1.5840000000000001</v>
      </c>
      <c r="S109" s="2">
        <f t="shared" si="15"/>
        <v>56.58400000000001</v>
      </c>
      <c r="T109" s="2">
        <v>2</v>
      </c>
      <c r="U109" s="2">
        <v>4</v>
      </c>
      <c r="V109" s="2">
        <v>19</v>
      </c>
      <c r="W109" s="2">
        <f t="shared" si="11"/>
        <v>6.164414002968976</v>
      </c>
      <c r="X109" s="2">
        <v>2</v>
      </c>
      <c r="Y109" s="2">
        <f t="shared" si="12"/>
        <v>2.8284271247461903</v>
      </c>
      <c r="Z109" s="2">
        <v>19</v>
      </c>
      <c r="AA109" s="2">
        <f t="shared" si="13"/>
        <v>6.164414002968976</v>
      </c>
      <c r="AB109" s="2">
        <f t="shared" si="14"/>
        <v>5.8309518948453007</v>
      </c>
      <c r="AC109" s="2">
        <v>7.2801</v>
      </c>
      <c r="AD109" s="2">
        <v>2</v>
      </c>
      <c r="AE109" s="2">
        <v>1</v>
      </c>
      <c r="AF109" s="2">
        <v>0</v>
      </c>
      <c r="AG109" s="2">
        <v>2</v>
      </c>
      <c r="AH109" s="2">
        <v>0</v>
      </c>
      <c r="AI109" t="s">
        <v>45</v>
      </c>
    </row>
    <row r="110" spans="1:35" x14ac:dyDescent="0.3">
      <c r="A110" s="2" t="s">
        <v>35</v>
      </c>
      <c r="B110" s="2" t="s">
        <v>383</v>
      </c>
      <c r="C110" s="2" t="s">
        <v>384</v>
      </c>
      <c r="D110" s="2" t="s">
        <v>43</v>
      </c>
      <c r="E110" s="2" t="s">
        <v>385</v>
      </c>
      <c r="F110" s="2">
        <v>2017</v>
      </c>
      <c r="G110" s="2">
        <v>5</v>
      </c>
      <c r="H110" s="2">
        <v>0</v>
      </c>
      <c r="I110" s="2">
        <v>4</v>
      </c>
      <c r="J110" s="2">
        <v>4</v>
      </c>
      <c r="K110" s="2">
        <v>4</v>
      </c>
      <c r="L110" s="2">
        <f t="shared" ca="1" si="8"/>
        <v>9</v>
      </c>
      <c r="M110" s="2">
        <v>1</v>
      </c>
      <c r="N110" s="2">
        <v>0</v>
      </c>
      <c r="O110" s="2">
        <v>8</v>
      </c>
      <c r="P110" s="2">
        <f t="shared" ca="1" si="9"/>
        <v>0.1111111111111111</v>
      </c>
      <c r="Q110" s="2">
        <f t="shared" ca="1" si="10"/>
        <v>62.222222222222221</v>
      </c>
      <c r="R110" s="2">
        <v>0.8367</v>
      </c>
      <c r="S110" s="2">
        <f t="shared" si="15"/>
        <v>60.8367</v>
      </c>
      <c r="T110" s="2">
        <v>1</v>
      </c>
      <c r="U110" s="2">
        <v>2</v>
      </c>
      <c r="V110" s="2">
        <v>7</v>
      </c>
      <c r="W110" s="2">
        <f t="shared" si="11"/>
        <v>2.6457513110645907</v>
      </c>
      <c r="X110" s="2">
        <v>1</v>
      </c>
      <c r="Y110" s="2">
        <f t="shared" si="12"/>
        <v>1.4142135623730951</v>
      </c>
      <c r="Z110" s="2">
        <v>7</v>
      </c>
      <c r="AA110" s="2">
        <f t="shared" si="13"/>
        <v>2.6457513110645907</v>
      </c>
      <c r="AB110" s="2">
        <f t="shared" si="14"/>
        <v>2.4494897427831779</v>
      </c>
      <c r="AC110" s="2">
        <v>2.6457999999999999</v>
      </c>
      <c r="AD110" s="2">
        <v>1</v>
      </c>
      <c r="AE110" s="2">
        <v>0</v>
      </c>
      <c r="AF110" s="2">
        <v>0</v>
      </c>
      <c r="AG110" s="2">
        <v>0</v>
      </c>
      <c r="AH110" s="2">
        <v>1</v>
      </c>
      <c r="AI110" t="s">
        <v>45</v>
      </c>
    </row>
    <row r="111" spans="1:35" x14ac:dyDescent="0.3">
      <c r="A111" s="2" t="s">
        <v>35</v>
      </c>
      <c r="B111" s="2" t="s">
        <v>386</v>
      </c>
      <c r="C111" s="2" t="s">
        <v>387</v>
      </c>
      <c r="D111" s="2" t="s">
        <v>388</v>
      </c>
      <c r="E111" s="2" t="s">
        <v>389</v>
      </c>
      <c r="F111" s="2">
        <v>1979</v>
      </c>
      <c r="G111" s="2">
        <v>40</v>
      </c>
      <c r="H111" s="2">
        <v>1</v>
      </c>
      <c r="I111" s="2">
        <v>22</v>
      </c>
      <c r="J111" s="2">
        <v>11</v>
      </c>
      <c r="K111" s="2">
        <v>22</v>
      </c>
      <c r="L111" s="2">
        <f t="shared" ca="1" si="8"/>
        <v>47</v>
      </c>
      <c r="M111" s="2">
        <v>6</v>
      </c>
      <c r="N111" s="2">
        <v>4</v>
      </c>
      <c r="O111" s="2">
        <v>113</v>
      </c>
      <c r="P111" s="2">
        <f t="shared" ca="1" si="9"/>
        <v>0.1276595744680851</v>
      </c>
      <c r="Q111" s="2">
        <f t="shared" ca="1" si="10"/>
        <v>42.569148936170215</v>
      </c>
      <c r="R111" s="2">
        <v>3.2429999999999999</v>
      </c>
      <c r="S111" s="2">
        <f t="shared" si="15"/>
        <v>45.493000000000002</v>
      </c>
      <c r="T111" s="2">
        <v>6</v>
      </c>
      <c r="U111" s="2">
        <v>10</v>
      </c>
      <c r="V111" s="2">
        <v>14.833299999999999</v>
      </c>
      <c r="W111" s="2">
        <f t="shared" si="11"/>
        <v>9.4339705320718483</v>
      </c>
      <c r="X111" s="2">
        <v>3</v>
      </c>
      <c r="Y111" s="2">
        <f t="shared" si="12"/>
        <v>7.745966692414834</v>
      </c>
      <c r="Z111" s="2">
        <v>11.5</v>
      </c>
      <c r="AA111" s="2">
        <f t="shared" si="13"/>
        <v>8.3066238629180749</v>
      </c>
      <c r="AB111" s="2">
        <f t="shared" si="14"/>
        <v>7.2800961532111641</v>
      </c>
      <c r="AC111" s="2">
        <v>15.3948</v>
      </c>
      <c r="AD111" s="2">
        <v>4</v>
      </c>
      <c r="AE111" s="2">
        <v>3</v>
      </c>
      <c r="AF111" s="2">
        <v>2</v>
      </c>
      <c r="AG111" s="2">
        <v>1</v>
      </c>
      <c r="AH111" s="2">
        <v>2</v>
      </c>
      <c r="AI111" t="s">
        <v>45</v>
      </c>
    </row>
    <row r="112" spans="1:35" x14ac:dyDescent="0.3">
      <c r="A112" s="2" t="s">
        <v>35</v>
      </c>
      <c r="B112" s="2" t="s">
        <v>390</v>
      </c>
      <c r="C112" s="2" t="s">
        <v>391</v>
      </c>
      <c r="D112" s="2" t="s">
        <v>109</v>
      </c>
      <c r="E112" s="2" t="s">
        <v>392</v>
      </c>
      <c r="F112" s="2">
        <v>2015</v>
      </c>
      <c r="G112" s="2">
        <v>40</v>
      </c>
      <c r="H112" s="2">
        <v>0</v>
      </c>
      <c r="I112" s="2">
        <v>5</v>
      </c>
      <c r="J112" s="2">
        <v>3</v>
      </c>
      <c r="K112" s="2">
        <v>6</v>
      </c>
      <c r="L112" s="2">
        <f t="shared" ca="1" si="8"/>
        <v>11</v>
      </c>
      <c r="M112" s="2">
        <v>9</v>
      </c>
      <c r="N112" s="2">
        <v>9</v>
      </c>
      <c r="O112" s="2">
        <v>361</v>
      </c>
      <c r="P112" s="2">
        <f t="shared" ca="1" si="9"/>
        <v>0.81818181818181823</v>
      </c>
      <c r="Q112" s="2">
        <f t="shared" ca="1" si="10"/>
        <v>32.045454545454547</v>
      </c>
      <c r="R112" s="2">
        <v>7.1749000000000001</v>
      </c>
      <c r="S112" s="2">
        <f t="shared" si="15"/>
        <v>37.174900000000001</v>
      </c>
      <c r="T112" s="2">
        <v>9</v>
      </c>
      <c r="U112" s="2">
        <v>18</v>
      </c>
      <c r="V112" s="2">
        <v>33.555599999999998</v>
      </c>
      <c r="W112" s="2">
        <f t="shared" si="11"/>
        <v>17.37815870568571</v>
      </c>
      <c r="X112" s="2">
        <v>4</v>
      </c>
      <c r="Y112" s="2">
        <f t="shared" si="12"/>
        <v>12.727922061357855</v>
      </c>
      <c r="Z112" s="2">
        <v>16</v>
      </c>
      <c r="AA112" s="2">
        <f t="shared" si="13"/>
        <v>12</v>
      </c>
      <c r="AB112" s="2">
        <f t="shared" si="14"/>
        <v>14.866082200768298</v>
      </c>
      <c r="AC112" s="2">
        <v>30.463100000000001</v>
      </c>
      <c r="AD112" s="2">
        <v>6</v>
      </c>
      <c r="AE112" s="2">
        <v>2</v>
      </c>
      <c r="AF112" s="2">
        <v>6</v>
      </c>
      <c r="AG112" s="2">
        <v>4</v>
      </c>
      <c r="AH112" s="2">
        <v>2</v>
      </c>
      <c r="AI112" t="s">
        <v>93</v>
      </c>
    </row>
    <row r="113" spans="1:35" x14ac:dyDescent="0.3">
      <c r="A113" s="2" t="s">
        <v>35</v>
      </c>
      <c r="B113" s="2" t="s">
        <v>393</v>
      </c>
      <c r="C113" s="2" t="s">
        <v>394</v>
      </c>
      <c r="D113" s="2" t="s">
        <v>187</v>
      </c>
      <c r="E113" s="2" t="s">
        <v>395</v>
      </c>
      <c r="F113" s="2">
        <v>1997</v>
      </c>
      <c r="G113" s="2">
        <v>60</v>
      </c>
      <c r="H113" s="2">
        <v>14</v>
      </c>
      <c r="I113" s="2">
        <v>12</v>
      </c>
      <c r="J113" s="2">
        <v>12</v>
      </c>
      <c r="K113" s="2">
        <v>19</v>
      </c>
      <c r="L113" s="2">
        <f t="shared" ca="1" si="8"/>
        <v>29</v>
      </c>
      <c r="M113" s="2">
        <v>22</v>
      </c>
      <c r="N113" s="2">
        <v>33</v>
      </c>
      <c r="O113" s="2">
        <v>1765</v>
      </c>
      <c r="P113" s="2">
        <f t="shared" ca="1" si="9"/>
        <v>0.75862068965517238</v>
      </c>
      <c r="Q113" s="2">
        <f t="shared" ca="1" si="10"/>
        <v>51.431034482758619</v>
      </c>
      <c r="R113" s="2">
        <v>10.389699999999999</v>
      </c>
      <c r="S113" s="2">
        <f t="shared" si="15"/>
        <v>60.556366666666669</v>
      </c>
      <c r="T113" s="2">
        <v>22</v>
      </c>
      <c r="U113" s="2">
        <v>41</v>
      </c>
      <c r="V113" s="2">
        <v>70.2273</v>
      </c>
      <c r="W113" s="2">
        <f t="shared" si="11"/>
        <v>39.306495646394119</v>
      </c>
      <c r="X113" s="2">
        <v>8</v>
      </c>
      <c r="Y113" s="2">
        <f t="shared" si="12"/>
        <v>30.033314835362415</v>
      </c>
      <c r="Z113" s="2">
        <v>53.5</v>
      </c>
      <c r="AA113" s="2">
        <f t="shared" si="13"/>
        <v>34.307433596816885</v>
      </c>
      <c r="AB113" s="2">
        <f t="shared" si="14"/>
        <v>32.573004159886757</v>
      </c>
      <c r="AC113" s="2">
        <v>112.02679999999999</v>
      </c>
      <c r="AD113" s="2">
        <v>14</v>
      </c>
      <c r="AE113" s="2">
        <v>4</v>
      </c>
      <c r="AF113" s="2">
        <v>0</v>
      </c>
      <c r="AG113" s="2">
        <v>17</v>
      </c>
      <c r="AH113" s="2">
        <v>9</v>
      </c>
      <c r="AI113" t="s">
        <v>45</v>
      </c>
    </row>
    <row r="114" spans="1:35" x14ac:dyDescent="0.3">
      <c r="A114" s="2" t="s">
        <v>35</v>
      </c>
      <c r="B114" s="2" t="s">
        <v>396</v>
      </c>
      <c r="C114" s="2" t="s">
        <v>397</v>
      </c>
      <c r="D114" s="2" t="s">
        <v>43</v>
      </c>
      <c r="E114" s="2" t="s">
        <v>398</v>
      </c>
      <c r="F114" s="2">
        <v>2002</v>
      </c>
      <c r="G114" s="2">
        <v>40</v>
      </c>
      <c r="H114" s="2">
        <v>2</v>
      </c>
      <c r="I114" s="2">
        <v>27</v>
      </c>
      <c r="J114" s="2">
        <v>27</v>
      </c>
      <c r="K114" s="2">
        <v>27</v>
      </c>
      <c r="L114" s="2">
        <f t="shared" ca="1" si="8"/>
        <v>24</v>
      </c>
      <c r="M114" s="2">
        <v>6</v>
      </c>
      <c r="N114" s="2">
        <v>5</v>
      </c>
      <c r="O114" s="2">
        <v>115</v>
      </c>
      <c r="P114" s="2">
        <f t="shared" ca="1" si="9"/>
        <v>0.25</v>
      </c>
      <c r="Q114" s="2">
        <f t="shared" ca="1" si="10"/>
        <v>48.875</v>
      </c>
      <c r="R114" s="2">
        <v>2.7968000000000002</v>
      </c>
      <c r="S114" s="2">
        <f t="shared" si="15"/>
        <v>51.046799999999998</v>
      </c>
      <c r="T114" s="2">
        <v>6</v>
      </c>
      <c r="U114" s="2">
        <v>10</v>
      </c>
      <c r="V114" s="2">
        <v>14.666700000000001</v>
      </c>
      <c r="W114" s="2">
        <f t="shared" si="11"/>
        <v>9.3808421796766197</v>
      </c>
      <c r="X114" s="2">
        <v>3</v>
      </c>
      <c r="Y114" s="2">
        <f t="shared" si="12"/>
        <v>7.745966692414834</v>
      </c>
      <c r="Z114" s="2">
        <v>11.5</v>
      </c>
      <c r="AA114" s="2">
        <f t="shared" si="13"/>
        <v>8.3066238629180749</v>
      </c>
      <c r="AB114" s="2">
        <f t="shared" si="14"/>
        <v>7.2111164184195502</v>
      </c>
      <c r="AC114" s="2">
        <v>15.329700000000001</v>
      </c>
      <c r="AD114" s="2">
        <v>6</v>
      </c>
      <c r="AE114" s="2">
        <v>0</v>
      </c>
      <c r="AF114" s="2">
        <v>3</v>
      </c>
      <c r="AG114" s="2">
        <v>1</v>
      </c>
      <c r="AH114" s="2">
        <v>5</v>
      </c>
      <c r="AI114" t="s">
        <v>45</v>
      </c>
    </row>
    <row r="115" spans="1:35" x14ac:dyDescent="0.3">
      <c r="A115" s="2" t="s">
        <v>35</v>
      </c>
      <c r="B115" s="2" t="s">
        <v>399</v>
      </c>
      <c r="C115" s="2" t="s">
        <v>400</v>
      </c>
      <c r="D115" s="2" t="s">
        <v>43</v>
      </c>
      <c r="E115" s="2" t="s">
        <v>401</v>
      </c>
      <c r="F115" s="2">
        <v>2011</v>
      </c>
      <c r="G115" s="2">
        <v>26</v>
      </c>
      <c r="H115" s="2">
        <v>3</v>
      </c>
      <c r="I115" s="2">
        <v>23</v>
      </c>
      <c r="J115" s="2">
        <v>21</v>
      </c>
      <c r="K115" s="2">
        <v>23</v>
      </c>
      <c r="L115" s="2">
        <f t="shared" ca="1" si="8"/>
        <v>15</v>
      </c>
      <c r="M115" s="2">
        <v>4</v>
      </c>
      <c r="N115" s="2">
        <v>1</v>
      </c>
      <c r="O115" s="2">
        <v>52</v>
      </c>
      <c r="P115" s="2">
        <f t="shared" ca="1" si="9"/>
        <v>0.26666666666666666</v>
      </c>
      <c r="Q115" s="2">
        <f t="shared" ca="1" si="10"/>
        <v>59.487179487179489</v>
      </c>
      <c r="R115" s="2">
        <v>2.4083000000000001</v>
      </c>
      <c r="S115" s="2">
        <f t="shared" si="15"/>
        <v>60.869838461538457</v>
      </c>
      <c r="T115" s="2">
        <v>4</v>
      </c>
      <c r="U115" s="2">
        <v>6</v>
      </c>
      <c r="V115" s="2">
        <v>9.75</v>
      </c>
      <c r="W115" s="2">
        <f t="shared" si="11"/>
        <v>6.2449979983983983</v>
      </c>
      <c r="X115" s="2">
        <v>2</v>
      </c>
      <c r="Y115" s="2">
        <f t="shared" si="12"/>
        <v>4.8989794855663558</v>
      </c>
      <c r="Z115" s="2">
        <v>6.5</v>
      </c>
      <c r="AA115" s="2">
        <f t="shared" si="13"/>
        <v>5.0990195135927845</v>
      </c>
      <c r="AB115" s="2">
        <f t="shared" si="14"/>
        <v>4.7958315233127191</v>
      </c>
      <c r="AC115" s="2">
        <v>8.3065999999999995</v>
      </c>
      <c r="AD115" s="2">
        <v>3</v>
      </c>
      <c r="AE115" s="2">
        <v>1</v>
      </c>
      <c r="AF115" s="2">
        <v>0</v>
      </c>
      <c r="AG115" s="2">
        <v>2</v>
      </c>
      <c r="AH115" s="2">
        <v>3</v>
      </c>
      <c r="AI115" t="s">
        <v>45</v>
      </c>
    </row>
    <row r="116" spans="1:35" x14ac:dyDescent="0.3">
      <c r="A116" s="2" t="s">
        <v>35</v>
      </c>
      <c r="B116" s="2" t="s">
        <v>402</v>
      </c>
      <c r="C116" s="2" t="s">
        <v>403</v>
      </c>
      <c r="D116" s="2" t="s">
        <v>318</v>
      </c>
      <c r="E116" s="2" t="s">
        <v>404</v>
      </c>
      <c r="F116" s="2">
        <v>2016</v>
      </c>
      <c r="G116" s="2">
        <v>21</v>
      </c>
      <c r="H116" s="2">
        <v>17</v>
      </c>
      <c r="I116" s="2">
        <v>7</v>
      </c>
      <c r="J116" s="2">
        <v>1</v>
      </c>
      <c r="K116" s="2">
        <v>7</v>
      </c>
      <c r="L116" s="2">
        <f t="shared" ca="1" si="8"/>
        <v>10</v>
      </c>
      <c r="M116" s="2">
        <v>6</v>
      </c>
      <c r="N116" s="2">
        <v>6</v>
      </c>
      <c r="O116" s="2">
        <v>161</v>
      </c>
      <c r="P116" s="2">
        <f t="shared" ca="1" si="9"/>
        <v>0.6</v>
      </c>
      <c r="Q116" s="2">
        <f t="shared" ca="1" si="10"/>
        <v>40</v>
      </c>
      <c r="R116" s="2">
        <v>3.9253999999999998</v>
      </c>
      <c r="S116" s="2">
        <f t="shared" si="15"/>
        <v>41.068257142857135</v>
      </c>
      <c r="T116" s="2">
        <v>6</v>
      </c>
      <c r="U116" s="2">
        <v>12</v>
      </c>
      <c r="V116" s="2">
        <v>21</v>
      </c>
      <c r="W116" s="2">
        <f t="shared" si="11"/>
        <v>11.224972160321824</v>
      </c>
      <c r="X116" s="2">
        <v>4</v>
      </c>
      <c r="Y116" s="2">
        <f t="shared" si="12"/>
        <v>8.4852813742385695</v>
      </c>
      <c r="Z116" s="2">
        <v>18.5</v>
      </c>
      <c r="AA116" s="2">
        <f t="shared" si="13"/>
        <v>10.535653752852738</v>
      </c>
      <c r="AB116" s="2">
        <f t="shared" si="14"/>
        <v>9.4868329805051381</v>
      </c>
      <c r="AC116" s="2">
        <v>18.867999999999999</v>
      </c>
      <c r="AD116" s="2">
        <v>4</v>
      </c>
      <c r="AE116" s="2">
        <v>4</v>
      </c>
      <c r="AF116" s="2">
        <v>1</v>
      </c>
      <c r="AG116" s="2">
        <v>5</v>
      </c>
      <c r="AH116" s="2">
        <v>0</v>
      </c>
      <c r="AI116" t="s">
        <v>45</v>
      </c>
    </row>
    <row r="117" spans="1:35" x14ac:dyDescent="0.3">
      <c r="A117" s="2" t="s">
        <v>35</v>
      </c>
      <c r="B117" s="2" t="s">
        <v>405</v>
      </c>
      <c r="C117" s="2" t="s">
        <v>406</v>
      </c>
      <c r="D117" s="2" t="s">
        <v>109</v>
      </c>
      <c r="E117" s="2" t="s">
        <v>407</v>
      </c>
      <c r="F117" s="2">
        <v>1960</v>
      </c>
      <c r="G117" s="2">
        <v>370</v>
      </c>
      <c r="H117" s="2">
        <v>71</v>
      </c>
      <c r="I117" s="2">
        <v>67</v>
      </c>
      <c r="J117" s="2">
        <v>42</v>
      </c>
      <c r="K117" s="2">
        <v>98</v>
      </c>
      <c r="L117" s="2">
        <f t="shared" ca="1" si="8"/>
        <v>66</v>
      </c>
      <c r="M117" s="2">
        <v>32</v>
      </c>
      <c r="N117" s="2">
        <v>99</v>
      </c>
      <c r="O117" s="2">
        <v>4613</v>
      </c>
      <c r="P117" s="2">
        <f t="shared" ca="1" si="9"/>
        <v>0.48484848484848486</v>
      </c>
      <c r="Q117" s="2">
        <f t="shared" ca="1" si="10"/>
        <v>20.104013104013106</v>
      </c>
      <c r="R117" s="2">
        <v>21.940999999999999</v>
      </c>
      <c r="S117" s="2">
        <f t="shared" si="15"/>
        <v>41.913972972972971</v>
      </c>
      <c r="T117" s="2">
        <v>32</v>
      </c>
      <c r="U117" s="2">
        <v>58</v>
      </c>
      <c r="V117" s="2">
        <v>86.593800000000002</v>
      </c>
      <c r="W117" s="2">
        <f t="shared" si="11"/>
        <v>52.640303950490257</v>
      </c>
      <c r="X117" s="2">
        <v>9</v>
      </c>
      <c r="Y117" s="2">
        <f t="shared" si="12"/>
        <v>43.08131845707603</v>
      </c>
      <c r="Z117" s="2">
        <v>54</v>
      </c>
      <c r="AA117" s="2">
        <f t="shared" si="13"/>
        <v>41.569219381653056</v>
      </c>
      <c r="AB117" s="2">
        <f t="shared" si="14"/>
        <v>41.79714822807891</v>
      </c>
      <c r="AC117" s="2">
        <v>163.0429</v>
      </c>
      <c r="AD117" s="2">
        <v>22</v>
      </c>
      <c r="AE117" s="2">
        <v>9</v>
      </c>
      <c r="AF117" s="2">
        <v>26</v>
      </c>
      <c r="AG117" s="2">
        <v>17</v>
      </c>
      <c r="AH117" s="2">
        <v>13</v>
      </c>
      <c r="AI117" t="s">
        <v>93</v>
      </c>
    </row>
    <row r="118" spans="1:35" x14ac:dyDescent="0.3">
      <c r="A118" s="2" t="s">
        <v>35</v>
      </c>
      <c r="B118" s="2" t="s">
        <v>408</v>
      </c>
      <c r="C118" s="2" t="s">
        <v>409</v>
      </c>
      <c r="D118" s="2" t="s">
        <v>51</v>
      </c>
      <c r="E118" s="2" t="s">
        <v>410</v>
      </c>
      <c r="F118" s="2">
        <v>2002</v>
      </c>
      <c r="G118" s="2">
        <v>69</v>
      </c>
      <c r="H118" s="2">
        <v>40</v>
      </c>
      <c r="I118" s="2">
        <v>10</v>
      </c>
      <c r="J118" s="2">
        <v>39</v>
      </c>
      <c r="K118" s="2">
        <v>48</v>
      </c>
      <c r="L118" s="2">
        <f t="shared" ca="1" si="8"/>
        <v>24</v>
      </c>
      <c r="M118" s="2">
        <v>29</v>
      </c>
      <c r="N118" s="2">
        <v>45</v>
      </c>
      <c r="O118" s="2">
        <v>2535</v>
      </c>
      <c r="P118" s="2">
        <f t="shared" ca="1" si="9"/>
        <v>1.2083333333333333</v>
      </c>
      <c r="Q118" s="2">
        <f t="shared" ca="1" si="10"/>
        <v>72.765700483091791</v>
      </c>
      <c r="R118" s="2">
        <v>13.4255</v>
      </c>
      <c r="S118" s="2">
        <f t="shared" si="15"/>
        <v>84.439992753623187</v>
      </c>
      <c r="T118" s="2">
        <v>29</v>
      </c>
      <c r="U118" s="2">
        <v>50</v>
      </c>
      <c r="V118" s="2">
        <v>75.793099999999995</v>
      </c>
      <c r="W118" s="2">
        <f t="shared" si="11"/>
        <v>46.882831612435695</v>
      </c>
      <c r="X118" s="2">
        <v>9</v>
      </c>
      <c r="Y118" s="2">
        <f t="shared" si="12"/>
        <v>38.078865529319543</v>
      </c>
      <c r="Z118" s="2">
        <v>51</v>
      </c>
      <c r="AA118" s="2">
        <f t="shared" si="13"/>
        <v>38.457769046058822</v>
      </c>
      <c r="AB118" s="2">
        <f t="shared" si="14"/>
        <v>36.837479555474474</v>
      </c>
      <c r="AC118" s="2">
        <v>149.06710000000001</v>
      </c>
      <c r="AD118" s="2">
        <v>23</v>
      </c>
      <c r="AE118" s="2">
        <v>9</v>
      </c>
      <c r="AF118" s="2">
        <v>2</v>
      </c>
      <c r="AG118" s="2">
        <v>10</v>
      </c>
      <c r="AH118" s="2">
        <v>19</v>
      </c>
      <c r="AI118" t="s">
        <v>40</v>
      </c>
    </row>
    <row r="119" spans="1:35" x14ac:dyDescent="0.3">
      <c r="A119" s="2" t="s">
        <v>35</v>
      </c>
      <c r="B119" s="2" t="s">
        <v>411</v>
      </c>
      <c r="C119" s="2" t="s">
        <v>412</v>
      </c>
      <c r="D119" s="2" t="s">
        <v>74</v>
      </c>
      <c r="E119" s="2" t="s">
        <v>413</v>
      </c>
      <c r="F119" s="2">
        <v>2008</v>
      </c>
      <c r="G119" s="2">
        <v>155</v>
      </c>
      <c r="H119" s="2">
        <v>65</v>
      </c>
      <c r="I119" s="2">
        <v>25</v>
      </c>
      <c r="J119" s="2">
        <v>52</v>
      </c>
      <c r="K119" s="2">
        <v>70</v>
      </c>
      <c r="L119" s="2">
        <f t="shared" ca="1" si="8"/>
        <v>18</v>
      </c>
      <c r="M119" s="2">
        <v>29</v>
      </c>
      <c r="N119" s="2">
        <v>73</v>
      </c>
      <c r="O119" s="2">
        <v>2707</v>
      </c>
      <c r="P119" s="2">
        <f t="shared" ca="1" si="9"/>
        <v>1.6111111111111112</v>
      </c>
      <c r="Q119" s="2">
        <f t="shared" ca="1" si="10"/>
        <v>38.136200716845877</v>
      </c>
      <c r="R119" s="2">
        <v>15.9748</v>
      </c>
      <c r="S119" s="2">
        <f t="shared" si="15"/>
        <v>53.071574193548386</v>
      </c>
      <c r="T119" s="2">
        <v>29</v>
      </c>
      <c r="U119" s="2">
        <v>46</v>
      </c>
      <c r="V119" s="2">
        <v>59.827599999999997</v>
      </c>
      <c r="W119" s="2">
        <f t="shared" si="11"/>
        <v>41.653336000853521</v>
      </c>
      <c r="X119" s="2">
        <v>8</v>
      </c>
      <c r="Y119" s="2">
        <f t="shared" si="12"/>
        <v>36.523964735499348</v>
      </c>
      <c r="Z119" s="2">
        <v>47</v>
      </c>
      <c r="AA119" s="2">
        <f t="shared" si="13"/>
        <v>36.918829883949464</v>
      </c>
      <c r="AB119" s="2">
        <f t="shared" si="14"/>
        <v>29.899839464451976</v>
      </c>
      <c r="AC119" s="2">
        <v>140.05359999999999</v>
      </c>
      <c r="AD119" s="2">
        <v>23</v>
      </c>
      <c r="AE119" s="2">
        <v>9</v>
      </c>
      <c r="AF119" s="2">
        <v>8</v>
      </c>
      <c r="AG119" s="2">
        <v>16</v>
      </c>
      <c r="AH119" s="2">
        <v>21</v>
      </c>
      <c r="AI119" t="s">
        <v>45</v>
      </c>
    </row>
    <row r="120" spans="1:35" x14ac:dyDescent="0.3">
      <c r="A120" s="2" t="s">
        <v>35</v>
      </c>
      <c r="B120" s="2" t="s">
        <v>414</v>
      </c>
      <c r="C120" s="2" t="s">
        <v>415</v>
      </c>
      <c r="D120" s="2" t="s">
        <v>51</v>
      </c>
      <c r="E120" s="2" t="s">
        <v>416</v>
      </c>
      <c r="F120" s="2">
        <v>2013</v>
      </c>
      <c r="G120" s="2">
        <v>6</v>
      </c>
      <c r="H120" s="2">
        <v>3</v>
      </c>
      <c r="I120" s="2">
        <v>3</v>
      </c>
      <c r="J120" s="2">
        <v>2</v>
      </c>
      <c r="K120" s="2">
        <v>3</v>
      </c>
      <c r="L120" s="2">
        <f t="shared" ca="1" si="8"/>
        <v>13</v>
      </c>
      <c r="M120" s="2">
        <v>4</v>
      </c>
      <c r="N120" s="2">
        <v>4</v>
      </c>
      <c r="O120" s="2">
        <v>134</v>
      </c>
      <c r="P120" s="2">
        <f t="shared" ca="1" si="9"/>
        <v>0.30769230769230771</v>
      </c>
      <c r="Q120" s="2">
        <f t="shared" ca="1" si="10"/>
        <v>91.794871794871796</v>
      </c>
      <c r="R120" s="2">
        <v>4.3319000000000001</v>
      </c>
      <c r="S120" s="2">
        <f t="shared" si="15"/>
        <v>90.998566666666676</v>
      </c>
      <c r="T120" s="2">
        <v>4</v>
      </c>
      <c r="U120" s="2">
        <v>6</v>
      </c>
      <c r="V120" s="2">
        <v>32.5</v>
      </c>
      <c r="W120" s="2">
        <f t="shared" si="11"/>
        <v>11.401754250991379</v>
      </c>
      <c r="X120" s="2">
        <v>4</v>
      </c>
      <c r="Y120" s="2">
        <f t="shared" si="12"/>
        <v>4.8989794855663558</v>
      </c>
      <c r="Z120" s="2">
        <v>30.5</v>
      </c>
      <c r="AA120" s="2">
        <f t="shared" si="13"/>
        <v>11.045361017187261</v>
      </c>
      <c r="AB120" s="2">
        <f t="shared" si="14"/>
        <v>10.677078252031311</v>
      </c>
      <c r="AC120" s="2">
        <v>17.029399999999999</v>
      </c>
      <c r="AD120" s="2">
        <v>3</v>
      </c>
      <c r="AE120" s="2">
        <v>1</v>
      </c>
      <c r="AF120" s="2">
        <v>0</v>
      </c>
      <c r="AG120" s="2">
        <v>3</v>
      </c>
      <c r="AH120" s="2">
        <v>2</v>
      </c>
      <c r="AI120" t="s">
        <v>40</v>
      </c>
    </row>
    <row r="121" spans="1:35" x14ac:dyDescent="0.3">
      <c r="A121" s="2" t="s">
        <v>35</v>
      </c>
      <c r="B121" s="2" t="s">
        <v>417</v>
      </c>
      <c r="C121" s="2" t="s">
        <v>418</v>
      </c>
      <c r="D121" s="2" t="s">
        <v>55</v>
      </c>
      <c r="E121" s="2" t="s">
        <v>419</v>
      </c>
      <c r="F121" s="2">
        <v>2000</v>
      </c>
      <c r="G121" s="2">
        <v>39</v>
      </c>
      <c r="H121" s="2">
        <v>1</v>
      </c>
      <c r="I121" s="2">
        <v>29</v>
      </c>
      <c r="J121" s="2">
        <v>26</v>
      </c>
      <c r="K121" s="2">
        <v>29</v>
      </c>
      <c r="L121" s="2">
        <f t="shared" ca="1" si="8"/>
        <v>26</v>
      </c>
      <c r="M121" s="2">
        <v>6</v>
      </c>
      <c r="N121" s="2">
        <v>4</v>
      </c>
      <c r="O121" s="2">
        <v>146</v>
      </c>
      <c r="P121" s="2">
        <f t="shared" ca="1" si="9"/>
        <v>0.23076923076923078</v>
      </c>
      <c r="Q121" s="2">
        <f t="shared" ca="1" si="10"/>
        <v>52.899408284023664</v>
      </c>
      <c r="R121" s="2">
        <v>2.7581000000000002</v>
      </c>
      <c r="S121" s="2">
        <f t="shared" si="15"/>
        <v>55.065792307692305</v>
      </c>
      <c r="T121" s="2">
        <v>6</v>
      </c>
      <c r="U121" s="2">
        <v>11</v>
      </c>
      <c r="V121" s="2">
        <v>22.166699999999999</v>
      </c>
      <c r="W121" s="2">
        <f t="shared" si="11"/>
        <v>11.532571265767231</v>
      </c>
      <c r="X121" s="2">
        <v>3</v>
      </c>
      <c r="Y121" s="2">
        <f t="shared" si="12"/>
        <v>8.1240384046359608</v>
      </c>
      <c r="Z121" s="2">
        <v>10.5</v>
      </c>
      <c r="AA121" s="2">
        <f t="shared" si="13"/>
        <v>7.9372539331937721</v>
      </c>
      <c r="AB121" s="2">
        <f t="shared" si="14"/>
        <v>9.8488679552525227</v>
      </c>
      <c r="AC121" s="2">
        <v>17.262699999999999</v>
      </c>
      <c r="AD121" s="2">
        <v>6</v>
      </c>
      <c r="AE121" s="2">
        <v>2</v>
      </c>
      <c r="AF121" s="2">
        <v>2</v>
      </c>
      <c r="AG121" s="2">
        <v>1</v>
      </c>
      <c r="AH121" s="2">
        <v>3</v>
      </c>
      <c r="AI121" t="s">
        <v>45</v>
      </c>
    </row>
    <row r="122" spans="1:35" x14ac:dyDescent="0.3">
      <c r="A122" s="2" t="s">
        <v>35</v>
      </c>
      <c r="B122" s="2" t="s">
        <v>420</v>
      </c>
      <c r="C122" s="2" t="s">
        <v>421</v>
      </c>
      <c r="D122" s="2" t="s">
        <v>99</v>
      </c>
      <c r="E122" s="2" t="s">
        <v>422</v>
      </c>
      <c r="F122" s="2">
        <v>1976</v>
      </c>
      <c r="G122" s="2">
        <v>101</v>
      </c>
      <c r="H122" s="2">
        <v>40</v>
      </c>
      <c r="I122" s="2">
        <v>1</v>
      </c>
      <c r="J122" s="2">
        <v>51</v>
      </c>
      <c r="K122" s="2">
        <v>51</v>
      </c>
      <c r="L122" s="2">
        <f t="shared" ca="1" si="8"/>
        <v>50</v>
      </c>
      <c r="M122" s="2">
        <v>25</v>
      </c>
      <c r="N122" s="2">
        <v>52</v>
      </c>
      <c r="O122" s="2">
        <v>1972</v>
      </c>
      <c r="P122" s="2">
        <f t="shared" ca="1" si="9"/>
        <v>0.5</v>
      </c>
      <c r="Q122" s="2">
        <f t="shared" ca="1" si="10"/>
        <v>46.534653465346537</v>
      </c>
      <c r="R122" s="2">
        <v>12.6493</v>
      </c>
      <c r="S122" s="2">
        <f t="shared" si="15"/>
        <v>58.688903960396033</v>
      </c>
      <c r="T122" s="2">
        <v>25</v>
      </c>
      <c r="U122" s="2">
        <v>40</v>
      </c>
      <c r="V122" s="2">
        <v>53.56</v>
      </c>
      <c r="W122" s="2">
        <f t="shared" si="11"/>
        <v>36.592348927063973</v>
      </c>
      <c r="X122" s="2">
        <v>7</v>
      </c>
      <c r="Y122" s="2">
        <f t="shared" si="12"/>
        <v>31.622776601683793</v>
      </c>
      <c r="Z122" s="2">
        <v>53</v>
      </c>
      <c r="AA122" s="2">
        <f t="shared" si="13"/>
        <v>36.400549446402593</v>
      </c>
      <c r="AB122" s="2">
        <f t="shared" si="14"/>
        <v>26.720778431774775</v>
      </c>
      <c r="AC122" s="2">
        <v>115.54649999999999</v>
      </c>
      <c r="AD122" s="2">
        <v>22</v>
      </c>
      <c r="AE122" s="2">
        <v>0</v>
      </c>
      <c r="AF122" s="2">
        <v>6</v>
      </c>
      <c r="AG122" s="2">
        <v>13</v>
      </c>
      <c r="AH122" s="2">
        <v>21</v>
      </c>
      <c r="AI122" t="s">
        <v>45</v>
      </c>
    </row>
    <row r="123" spans="1:35" x14ac:dyDescent="0.3">
      <c r="A123" s="2" t="s">
        <v>35</v>
      </c>
      <c r="B123" s="2" t="s">
        <v>423</v>
      </c>
      <c r="C123" s="2" t="s">
        <v>424</v>
      </c>
      <c r="D123" s="2" t="s">
        <v>91</v>
      </c>
      <c r="E123" s="2" t="s">
        <v>425</v>
      </c>
      <c r="F123" s="2">
        <v>2011</v>
      </c>
      <c r="G123" s="2">
        <v>79</v>
      </c>
      <c r="H123" s="2">
        <v>12</v>
      </c>
      <c r="I123" s="2">
        <v>37</v>
      </c>
      <c r="J123" s="2">
        <v>26</v>
      </c>
      <c r="K123" s="2">
        <v>48</v>
      </c>
      <c r="L123" s="2">
        <f t="shared" ca="1" si="8"/>
        <v>15</v>
      </c>
      <c r="M123" s="2">
        <v>14</v>
      </c>
      <c r="N123" s="2">
        <v>26</v>
      </c>
      <c r="O123" s="2">
        <v>766</v>
      </c>
      <c r="P123" s="2">
        <f t="shared" ca="1" si="9"/>
        <v>0.93333333333333335</v>
      </c>
      <c r="Q123" s="2">
        <f t="shared" ca="1" si="10"/>
        <v>47.76371308016877</v>
      </c>
      <c r="R123" s="2">
        <v>8.1080000000000005</v>
      </c>
      <c r="S123" s="2">
        <f t="shared" si="15"/>
        <v>54.690278481012655</v>
      </c>
      <c r="T123" s="2">
        <v>14</v>
      </c>
      <c r="U123" s="2">
        <v>24</v>
      </c>
      <c r="V123" s="2">
        <v>33.357100000000003</v>
      </c>
      <c r="W123" s="2">
        <f t="shared" si="11"/>
        <v>21.61016890262545</v>
      </c>
      <c r="X123" s="2">
        <v>5</v>
      </c>
      <c r="Y123" s="2">
        <f t="shared" si="12"/>
        <v>18.330302779823359</v>
      </c>
      <c r="Z123" s="2">
        <v>24</v>
      </c>
      <c r="AA123" s="2">
        <f t="shared" si="13"/>
        <v>18.330302779823359</v>
      </c>
      <c r="AB123" s="2">
        <f t="shared" si="14"/>
        <v>16.462059409442066</v>
      </c>
      <c r="AC123" s="2">
        <v>50.07</v>
      </c>
      <c r="AD123" s="2">
        <v>13</v>
      </c>
      <c r="AE123" s="2">
        <v>9</v>
      </c>
      <c r="AF123" s="2">
        <v>4</v>
      </c>
      <c r="AG123" s="2">
        <v>7</v>
      </c>
      <c r="AH123" s="2">
        <v>10</v>
      </c>
      <c r="AI123" t="s">
        <v>93</v>
      </c>
    </row>
    <row r="124" spans="1:35" x14ac:dyDescent="0.3">
      <c r="A124" s="2" t="s">
        <v>35</v>
      </c>
      <c r="B124" s="2" t="s">
        <v>426</v>
      </c>
      <c r="C124" s="2" t="s">
        <v>427</v>
      </c>
      <c r="D124" s="2" t="s">
        <v>91</v>
      </c>
      <c r="E124" s="2" t="s">
        <v>428</v>
      </c>
      <c r="F124" s="2">
        <v>2014</v>
      </c>
      <c r="G124" s="2">
        <v>13</v>
      </c>
      <c r="H124" s="2">
        <v>3</v>
      </c>
      <c r="I124" s="2">
        <v>7</v>
      </c>
      <c r="J124" s="2">
        <v>5</v>
      </c>
      <c r="K124" s="2">
        <v>7</v>
      </c>
      <c r="L124" s="2">
        <f t="shared" ca="1" si="8"/>
        <v>12</v>
      </c>
      <c r="M124" s="2">
        <v>8</v>
      </c>
      <c r="N124" s="2">
        <v>7</v>
      </c>
      <c r="O124" s="2">
        <v>214</v>
      </c>
      <c r="P124" s="2">
        <f t="shared" ca="1" si="9"/>
        <v>0.66666666666666663</v>
      </c>
      <c r="Q124" s="2">
        <f t="shared" ca="1" si="10"/>
        <v>91.28205128205127</v>
      </c>
      <c r="R124" s="2">
        <v>6.1886999999999999</v>
      </c>
      <c r="S124" s="2">
        <f t="shared" si="15"/>
        <v>92.342546153846143</v>
      </c>
      <c r="T124" s="2">
        <v>8</v>
      </c>
      <c r="U124" s="2">
        <v>13</v>
      </c>
      <c r="V124" s="2">
        <v>24.875</v>
      </c>
      <c r="W124" s="2">
        <f t="shared" si="11"/>
        <v>14.106735979665885</v>
      </c>
      <c r="X124" s="2">
        <v>4</v>
      </c>
      <c r="Y124" s="2">
        <f t="shared" si="12"/>
        <v>10.198039027185569</v>
      </c>
      <c r="Z124" s="2">
        <v>25</v>
      </c>
      <c r="AA124" s="2">
        <f t="shared" si="13"/>
        <v>14.142135623730951</v>
      </c>
      <c r="AB124" s="2">
        <f t="shared" si="14"/>
        <v>11.61895003862225</v>
      </c>
      <c r="AC124" s="2">
        <v>25.922999999999998</v>
      </c>
      <c r="AD124" s="2">
        <v>6</v>
      </c>
      <c r="AE124" s="2">
        <v>1</v>
      </c>
      <c r="AF124" s="2">
        <v>0</v>
      </c>
      <c r="AG124" s="2">
        <v>4</v>
      </c>
      <c r="AH124" s="2">
        <v>5</v>
      </c>
      <c r="AI124" t="s">
        <v>93</v>
      </c>
    </row>
    <row r="125" spans="1:35" x14ac:dyDescent="0.3">
      <c r="A125" s="2" t="s">
        <v>35</v>
      </c>
      <c r="B125" s="2" t="s">
        <v>429</v>
      </c>
      <c r="C125" s="2" t="s">
        <v>430</v>
      </c>
      <c r="D125" s="2" t="s">
        <v>43</v>
      </c>
      <c r="E125" s="2" t="s">
        <v>431</v>
      </c>
      <c r="F125" s="2">
        <v>1998</v>
      </c>
      <c r="G125" s="2">
        <v>1</v>
      </c>
      <c r="H125" s="2">
        <v>0</v>
      </c>
      <c r="I125" s="2">
        <v>1</v>
      </c>
      <c r="J125" s="2">
        <v>1</v>
      </c>
      <c r="K125" s="2">
        <v>1</v>
      </c>
      <c r="L125" s="2">
        <f t="shared" ca="1" si="8"/>
        <v>28</v>
      </c>
      <c r="M125" s="2">
        <v>1</v>
      </c>
      <c r="N125" s="2">
        <v>0</v>
      </c>
      <c r="O125" s="2">
        <v>1</v>
      </c>
      <c r="P125" s="2">
        <f t="shared" ca="1" si="9"/>
        <v>3.5714285714285712E-2</v>
      </c>
      <c r="Q125" s="2">
        <f t="shared" ca="1" si="10"/>
        <v>153.57142857142858</v>
      </c>
      <c r="R125" s="2">
        <v>0.1857</v>
      </c>
      <c r="S125" s="2">
        <f t="shared" si="15"/>
        <v>150.1857</v>
      </c>
      <c r="T125" s="2">
        <v>1</v>
      </c>
      <c r="U125" s="2">
        <v>1</v>
      </c>
      <c r="V125" s="2">
        <v>1</v>
      </c>
      <c r="W125" s="2">
        <f t="shared" si="11"/>
        <v>1</v>
      </c>
      <c r="X125" s="2">
        <v>1</v>
      </c>
      <c r="Y125" s="2">
        <f t="shared" si="12"/>
        <v>1</v>
      </c>
      <c r="Z125" s="2">
        <v>1</v>
      </c>
      <c r="AA125" s="2">
        <f t="shared" si="13"/>
        <v>1</v>
      </c>
      <c r="AB125" s="2">
        <f t="shared" si="14"/>
        <v>0</v>
      </c>
      <c r="AC125" s="2">
        <v>1</v>
      </c>
      <c r="AD125" s="2">
        <v>1</v>
      </c>
      <c r="AE125" s="2">
        <v>0</v>
      </c>
      <c r="AF125" s="2">
        <v>0</v>
      </c>
      <c r="AG125" s="2">
        <v>0</v>
      </c>
      <c r="AH125" s="2">
        <v>1</v>
      </c>
      <c r="AI125" t="s">
        <v>45</v>
      </c>
    </row>
    <row r="126" spans="1:35" x14ac:dyDescent="0.3">
      <c r="A126" s="2" t="s">
        <v>35</v>
      </c>
      <c r="B126" s="2" t="s">
        <v>432</v>
      </c>
      <c r="C126" s="2" t="s">
        <v>433</v>
      </c>
      <c r="D126" s="2" t="s">
        <v>43</v>
      </c>
      <c r="E126" s="2" t="s">
        <v>434</v>
      </c>
      <c r="F126" s="2">
        <v>2012</v>
      </c>
      <c r="G126" s="2">
        <v>1</v>
      </c>
      <c r="H126" s="2">
        <v>0</v>
      </c>
      <c r="I126" s="2">
        <v>0</v>
      </c>
      <c r="J126" s="2">
        <v>0</v>
      </c>
      <c r="K126" s="2">
        <v>0</v>
      </c>
      <c r="L126" s="2">
        <f t="shared" ca="1" si="8"/>
        <v>14</v>
      </c>
      <c r="M126" s="2">
        <v>1</v>
      </c>
      <c r="N126" s="2">
        <v>0</v>
      </c>
      <c r="O126" s="2">
        <v>7</v>
      </c>
      <c r="P126" s="2">
        <f t="shared" ca="1" si="9"/>
        <v>7.1428571428571425E-2</v>
      </c>
      <c r="Q126" s="2">
        <f t="shared" ca="1" si="10"/>
        <v>107.14285714285714</v>
      </c>
      <c r="R126" s="2">
        <v>0.68310000000000004</v>
      </c>
      <c r="S126" s="2">
        <f t="shared" si="15"/>
        <v>100.6831</v>
      </c>
      <c r="T126" s="2">
        <v>1</v>
      </c>
      <c r="U126" s="2">
        <v>1</v>
      </c>
      <c r="V126" s="2">
        <v>7</v>
      </c>
      <c r="W126" s="2">
        <f t="shared" si="11"/>
        <v>2.6457513110645907</v>
      </c>
      <c r="X126" s="2">
        <v>1</v>
      </c>
      <c r="Y126" s="2">
        <f t="shared" si="12"/>
        <v>1</v>
      </c>
      <c r="Z126" s="2">
        <v>7</v>
      </c>
      <c r="AA126" s="2">
        <f t="shared" si="13"/>
        <v>2.6457513110645907</v>
      </c>
      <c r="AB126" s="2">
        <f t="shared" si="14"/>
        <v>2.4494897427831779</v>
      </c>
      <c r="AC126" s="2">
        <v>2.6457999999999999</v>
      </c>
      <c r="AD126" s="2">
        <v>1</v>
      </c>
      <c r="AE126" s="2">
        <v>0</v>
      </c>
      <c r="AF126" s="2">
        <v>0</v>
      </c>
      <c r="AG126" s="2">
        <v>1</v>
      </c>
      <c r="AH126" s="2">
        <v>0</v>
      </c>
      <c r="AI126" t="s">
        <v>45</v>
      </c>
    </row>
    <row r="127" spans="1:35" x14ac:dyDescent="0.3">
      <c r="A127" s="2" t="s">
        <v>35</v>
      </c>
      <c r="B127" s="2" t="s">
        <v>435</v>
      </c>
      <c r="C127" s="2" t="s">
        <v>436</v>
      </c>
      <c r="D127" s="2" t="s">
        <v>91</v>
      </c>
      <c r="E127" s="2" t="s">
        <v>437</v>
      </c>
      <c r="F127" s="2">
        <v>2013</v>
      </c>
      <c r="G127" s="2">
        <v>76</v>
      </c>
      <c r="H127" s="2">
        <v>17</v>
      </c>
      <c r="I127" s="2">
        <v>4</v>
      </c>
      <c r="J127" s="2">
        <v>48</v>
      </c>
      <c r="K127" s="2">
        <v>50</v>
      </c>
      <c r="L127" s="2">
        <f t="shared" ca="1" si="8"/>
        <v>13</v>
      </c>
      <c r="M127" s="2">
        <v>19</v>
      </c>
      <c r="N127" s="2">
        <v>32</v>
      </c>
      <c r="O127" s="2">
        <v>1740</v>
      </c>
      <c r="P127" s="2">
        <f t="shared" ca="1" si="9"/>
        <v>1.4615384615384615</v>
      </c>
      <c r="Q127" s="2">
        <f t="shared" ca="1" si="10"/>
        <v>57.58097165991903</v>
      </c>
      <c r="R127" s="2">
        <v>12.017899999999999</v>
      </c>
      <c r="S127" s="2">
        <f t="shared" si="15"/>
        <v>67.675794736842107</v>
      </c>
      <c r="T127" s="2">
        <v>19</v>
      </c>
      <c r="U127" s="2">
        <v>41</v>
      </c>
      <c r="V127" s="2">
        <v>76.263199999999998</v>
      </c>
      <c r="W127" s="2">
        <f t="shared" si="11"/>
        <v>38.06574312948586</v>
      </c>
      <c r="X127" s="2">
        <v>7</v>
      </c>
      <c r="Y127" s="2">
        <f t="shared" si="12"/>
        <v>27.910571473905726</v>
      </c>
      <c r="Z127" s="2">
        <v>35</v>
      </c>
      <c r="AA127" s="2">
        <f t="shared" si="13"/>
        <v>25.787593916455254</v>
      </c>
      <c r="AB127" s="2">
        <f t="shared" si="14"/>
        <v>32.984857131720311</v>
      </c>
      <c r="AC127" s="2">
        <v>84.605000000000004</v>
      </c>
      <c r="AD127" s="2">
        <v>17</v>
      </c>
      <c r="AE127" s="2">
        <v>1</v>
      </c>
      <c r="AF127" s="2">
        <v>5</v>
      </c>
      <c r="AG127" s="2">
        <v>5</v>
      </c>
      <c r="AH127" s="2">
        <v>16</v>
      </c>
      <c r="AI127" t="s">
        <v>93</v>
      </c>
    </row>
    <row r="128" spans="1:35" x14ac:dyDescent="0.3">
      <c r="A128" s="2" t="s">
        <v>35</v>
      </c>
      <c r="B128" s="2" t="s">
        <v>438</v>
      </c>
      <c r="C128" s="2" t="s">
        <v>439</v>
      </c>
      <c r="D128" s="2" t="s">
        <v>43</v>
      </c>
      <c r="E128" s="2" t="s">
        <v>440</v>
      </c>
      <c r="F128" s="2">
        <v>2009</v>
      </c>
      <c r="G128" s="2">
        <v>58</v>
      </c>
      <c r="H128" s="2">
        <v>1</v>
      </c>
      <c r="I128" s="2">
        <v>46</v>
      </c>
      <c r="J128" s="2">
        <v>33</v>
      </c>
      <c r="K128" s="2">
        <v>46</v>
      </c>
      <c r="L128" s="2">
        <f t="shared" ca="1" si="8"/>
        <v>17</v>
      </c>
      <c r="M128" s="2">
        <v>7</v>
      </c>
      <c r="N128" s="2">
        <v>2</v>
      </c>
      <c r="O128" s="2">
        <v>137</v>
      </c>
      <c r="P128" s="2">
        <f t="shared" ca="1" si="9"/>
        <v>0.41176470588235292</v>
      </c>
      <c r="Q128" s="2">
        <f t="shared" ca="1" si="10"/>
        <v>52.261663286004051</v>
      </c>
      <c r="R128" s="2">
        <v>2.4781</v>
      </c>
      <c r="S128" s="2">
        <f t="shared" si="15"/>
        <v>54.02982413793103</v>
      </c>
      <c r="T128" s="2">
        <v>7</v>
      </c>
      <c r="U128" s="2">
        <v>8</v>
      </c>
      <c r="V128" s="2">
        <v>9.2857000000000003</v>
      </c>
      <c r="W128" s="2">
        <f t="shared" si="11"/>
        <v>8.062251546559434</v>
      </c>
      <c r="X128" s="2">
        <v>3</v>
      </c>
      <c r="Y128" s="2">
        <f t="shared" si="12"/>
        <v>7.4833147735478827</v>
      </c>
      <c r="Z128" s="2">
        <v>8</v>
      </c>
      <c r="AA128" s="2">
        <f t="shared" si="13"/>
        <v>7.4833147735478827</v>
      </c>
      <c r="AB128" s="2">
        <f t="shared" si="14"/>
        <v>3.9999874999804681</v>
      </c>
      <c r="AC128" s="2">
        <v>15.198700000000001</v>
      </c>
      <c r="AD128" s="2">
        <v>6</v>
      </c>
      <c r="AE128" s="2">
        <v>3</v>
      </c>
      <c r="AF128" s="2">
        <v>2</v>
      </c>
      <c r="AG128" s="2">
        <v>0</v>
      </c>
      <c r="AH128" s="2">
        <v>6</v>
      </c>
      <c r="AI128" t="s">
        <v>45</v>
      </c>
    </row>
    <row r="129" spans="1:35" x14ac:dyDescent="0.3">
      <c r="A129" s="2" t="s">
        <v>35</v>
      </c>
      <c r="B129" s="2" t="s">
        <v>441</v>
      </c>
      <c r="C129" s="2" t="s">
        <v>442</v>
      </c>
      <c r="D129" s="2" t="s">
        <v>51</v>
      </c>
      <c r="E129" s="2" t="s">
        <v>443</v>
      </c>
      <c r="F129" s="2">
        <v>1978</v>
      </c>
      <c r="G129" s="2">
        <v>229</v>
      </c>
      <c r="H129" s="2">
        <v>70</v>
      </c>
      <c r="I129" s="2">
        <v>37</v>
      </c>
      <c r="J129" s="2">
        <v>21</v>
      </c>
      <c r="K129" s="2">
        <v>54</v>
      </c>
      <c r="L129" s="2">
        <f t="shared" ca="1" si="8"/>
        <v>48</v>
      </c>
      <c r="M129" s="2">
        <v>40</v>
      </c>
      <c r="N129" s="2">
        <v>105</v>
      </c>
      <c r="O129" s="2">
        <v>5878</v>
      </c>
      <c r="P129" s="2">
        <f t="shared" ca="1" si="9"/>
        <v>0.83333333333333337</v>
      </c>
      <c r="Q129" s="2">
        <f t="shared" ca="1" si="10"/>
        <v>26.56477438136827</v>
      </c>
      <c r="R129" s="2">
        <v>16.3232</v>
      </c>
      <c r="S129" s="2">
        <f t="shared" si="15"/>
        <v>42.524073362445421</v>
      </c>
      <c r="T129" s="2">
        <v>40</v>
      </c>
      <c r="U129" s="2">
        <v>71</v>
      </c>
      <c r="V129" s="2">
        <v>106.4</v>
      </c>
      <c r="W129" s="2">
        <f t="shared" si="11"/>
        <v>65.238025721200358</v>
      </c>
      <c r="X129" s="2">
        <v>9</v>
      </c>
      <c r="Y129" s="2">
        <f t="shared" si="12"/>
        <v>53.291650377896914</v>
      </c>
      <c r="Z129" s="2">
        <v>65</v>
      </c>
      <c r="AA129" s="2">
        <f t="shared" si="13"/>
        <v>50.990195135927848</v>
      </c>
      <c r="AB129" s="2">
        <f t="shared" si="14"/>
        <v>51.536394906900505</v>
      </c>
      <c r="AC129" s="2">
        <v>223.23079999999999</v>
      </c>
      <c r="AD129" s="2">
        <v>27</v>
      </c>
      <c r="AE129" s="2">
        <v>11</v>
      </c>
      <c r="AF129" s="2">
        <v>21</v>
      </c>
      <c r="AG129" s="2">
        <v>25</v>
      </c>
      <c r="AH129" s="2">
        <v>13</v>
      </c>
      <c r="AI129" t="s">
        <v>40</v>
      </c>
    </row>
    <row r="130" spans="1:35" x14ac:dyDescent="0.3">
      <c r="A130" s="2" t="s">
        <v>35</v>
      </c>
      <c r="B130" s="2" t="s">
        <v>444</v>
      </c>
      <c r="C130" s="2" t="s">
        <v>445</v>
      </c>
      <c r="D130" s="2" t="s">
        <v>51</v>
      </c>
      <c r="E130" s="2" t="s">
        <v>446</v>
      </c>
      <c r="F130" s="2">
        <v>2013</v>
      </c>
      <c r="G130" s="2">
        <v>7</v>
      </c>
      <c r="H130" s="2">
        <v>0</v>
      </c>
      <c r="I130" s="2">
        <v>3</v>
      </c>
      <c r="J130" s="2">
        <v>0</v>
      </c>
      <c r="K130" s="2">
        <v>3</v>
      </c>
      <c r="L130" s="2">
        <f t="shared" ref="L130:L193" ca="1" si="16">IF((YEAR(TODAY())-F130)&lt;=0,1,YEAR(TODAY())-F130)</f>
        <v>13</v>
      </c>
      <c r="M130" s="2">
        <v>2</v>
      </c>
      <c r="N130" s="2">
        <v>0</v>
      </c>
      <c r="O130" s="2">
        <v>12</v>
      </c>
      <c r="P130" s="2">
        <f t="shared" ref="P130:P193" ca="1" si="17">IFERROR(M130/L130,0)</f>
        <v>0.15384615384615385</v>
      </c>
      <c r="Q130" s="2">
        <f t="shared" ref="Q130:Q193" ca="1" si="18">IFERROR((100/G130)*(M130-0.1*H130+0.5*K130+P130),0)</f>
        <v>52.197802197802197</v>
      </c>
      <c r="R130" s="2">
        <v>1.0465</v>
      </c>
      <c r="S130" s="2">
        <f t="shared" si="15"/>
        <v>51.046500000000002</v>
      </c>
      <c r="T130" s="2">
        <v>2</v>
      </c>
      <c r="U130" s="2">
        <v>3</v>
      </c>
      <c r="V130" s="2">
        <v>4</v>
      </c>
      <c r="W130" s="2">
        <f t="shared" ref="W130:W193" si="19">IFERROR(SQRT(V130*T130),0)</f>
        <v>2.8284271247461903</v>
      </c>
      <c r="X130" s="2">
        <v>1</v>
      </c>
      <c r="Y130" s="2">
        <f t="shared" ref="Y130:Y193" si="20">IFERROR(SQRT(T130*U130),0)</f>
        <v>2.4494897427831779</v>
      </c>
      <c r="Z130" s="2">
        <v>4</v>
      </c>
      <c r="AA130" s="2">
        <f t="shared" ref="AA130:AA193" si="21">IFERROR(SQRT(T130*Z130),0)</f>
        <v>2.8284271247461903</v>
      </c>
      <c r="AB130" s="2">
        <f t="shared" ref="AB130:AB193" si="22">IFERROR(SQRT(MAX(V130*T130-T130^2,0)),0)</f>
        <v>2</v>
      </c>
      <c r="AC130" s="2">
        <v>3.1623000000000001</v>
      </c>
      <c r="AD130" s="2">
        <v>1</v>
      </c>
      <c r="AE130" s="2">
        <v>2</v>
      </c>
      <c r="AF130" s="2">
        <v>1</v>
      </c>
      <c r="AG130" s="2">
        <v>1</v>
      </c>
      <c r="AH130" s="2">
        <v>0</v>
      </c>
      <c r="AI130" t="s">
        <v>40</v>
      </c>
    </row>
    <row r="131" spans="1:35" x14ac:dyDescent="0.3">
      <c r="A131" s="2" t="s">
        <v>35</v>
      </c>
      <c r="B131" s="2" t="s">
        <v>447</v>
      </c>
      <c r="C131" s="2" t="s">
        <v>448</v>
      </c>
      <c r="D131" s="2" t="s">
        <v>43</v>
      </c>
      <c r="E131" s="2" t="s">
        <v>449</v>
      </c>
      <c r="F131" s="2">
        <v>2011</v>
      </c>
      <c r="G131" s="2">
        <v>12</v>
      </c>
      <c r="H131" s="2">
        <v>0</v>
      </c>
      <c r="I131" s="2">
        <v>11</v>
      </c>
      <c r="J131" s="2">
        <v>11</v>
      </c>
      <c r="K131" s="2">
        <v>11</v>
      </c>
      <c r="L131" s="2">
        <f t="shared" ca="1" si="16"/>
        <v>15</v>
      </c>
      <c r="M131" s="2">
        <v>4</v>
      </c>
      <c r="N131" s="2">
        <v>1</v>
      </c>
      <c r="O131" s="2">
        <v>29</v>
      </c>
      <c r="P131" s="2">
        <f t="shared" ca="1" si="17"/>
        <v>0.26666666666666666</v>
      </c>
      <c r="Q131" s="2">
        <f t="shared" ca="1" si="18"/>
        <v>81.3888888888889</v>
      </c>
      <c r="R131" s="2">
        <v>1.4610000000000001</v>
      </c>
      <c r="S131" s="2">
        <f t="shared" ref="S131:S194" si="23">IFERROR((100/G131)*(M131-0.1*H131+0.5*K131)+R131,0)</f>
        <v>80.62766666666667</v>
      </c>
      <c r="T131" s="2">
        <v>4</v>
      </c>
      <c r="U131" s="2">
        <v>5</v>
      </c>
      <c r="V131" s="2">
        <v>6.25</v>
      </c>
      <c r="W131" s="2">
        <f t="shared" si="19"/>
        <v>5</v>
      </c>
      <c r="X131" s="2">
        <v>2</v>
      </c>
      <c r="Y131" s="2">
        <f t="shared" si="20"/>
        <v>4.4721359549995796</v>
      </c>
      <c r="Z131" s="2">
        <v>5.5</v>
      </c>
      <c r="AA131" s="2">
        <f t="shared" si="21"/>
        <v>4.6904157598234297</v>
      </c>
      <c r="AB131" s="2">
        <f t="shared" si="22"/>
        <v>3</v>
      </c>
      <c r="AC131" s="2">
        <v>7.2801</v>
      </c>
      <c r="AD131" s="2">
        <v>4</v>
      </c>
      <c r="AE131" s="2">
        <v>0</v>
      </c>
      <c r="AF131" s="2">
        <v>1</v>
      </c>
      <c r="AG131" s="2">
        <v>0</v>
      </c>
      <c r="AH131" s="2">
        <v>4</v>
      </c>
      <c r="AI131" t="s">
        <v>45</v>
      </c>
    </row>
    <row r="132" spans="1:35" x14ac:dyDescent="0.3">
      <c r="A132" s="2" t="s">
        <v>35</v>
      </c>
      <c r="B132" s="2" t="s">
        <v>450</v>
      </c>
      <c r="C132" s="2" t="s">
        <v>451</v>
      </c>
      <c r="D132" s="2" t="s">
        <v>91</v>
      </c>
      <c r="E132" s="2" t="s">
        <v>452</v>
      </c>
      <c r="F132" s="2">
        <v>2010</v>
      </c>
      <c r="G132" s="2">
        <v>54</v>
      </c>
      <c r="H132" s="2">
        <v>20</v>
      </c>
      <c r="I132" s="2">
        <v>8</v>
      </c>
      <c r="J132" s="2">
        <v>19</v>
      </c>
      <c r="K132" s="2">
        <v>24</v>
      </c>
      <c r="L132" s="2">
        <f t="shared" ca="1" si="16"/>
        <v>16</v>
      </c>
      <c r="M132" s="2">
        <v>21</v>
      </c>
      <c r="N132" s="2">
        <v>35</v>
      </c>
      <c r="O132" s="2">
        <v>1477</v>
      </c>
      <c r="P132" s="2">
        <f t="shared" ca="1" si="17"/>
        <v>1.3125</v>
      </c>
      <c r="Q132" s="2">
        <f t="shared" ca="1" si="18"/>
        <v>59.837962962962962</v>
      </c>
      <c r="R132" s="2">
        <v>15.0581</v>
      </c>
      <c r="S132" s="2">
        <f t="shared" si="23"/>
        <v>72.465507407407401</v>
      </c>
      <c r="T132" s="2">
        <v>21</v>
      </c>
      <c r="U132" s="2">
        <v>38</v>
      </c>
      <c r="V132" s="2">
        <v>59.142899999999997</v>
      </c>
      <c r="W132" s="2">
        <f t="shared" si="19"/>
        <v>35.242033142257839</v>
      </c>
      <c r="X132" s="2">
        <v>8</v>
      </c>
      <c r="Y132" s="2">
        <f t="shared" si="20"/>
        <v>28.24889378365107</v>
      </c>
      <c r="Z132" s="2">
        <v>44</v>
      </c>
      <c r="AA132" s="2">
        <f t="shared" si="21"/>
        <v>30.397368307141328</v>
      </c>
      <c r="AB132" s="2">
        <f t="shared" si="22"/>
        <v>28.301959296133546</v>
      </c>
      <c r="AC132" s="2">
        <v>93.343500000000006</v>
      </c>
      <c r="AD132" s="2">
        <v>14</v>
      </c>
      <c r="AE132" s="2">
        <v>2</v>
      </c>
      <c r="AF132" s="2">
        <v>7</v>
      </c>
      <c r="AG132" s="2">
        <v>10</v>
      </c>
      <c r="AH132" s="2">
        <v>13</v>
      </c>
      <c r="AI132" t="s">
        <v>93</v>
      </c>
    </row>
    <row r="133" spans="1:35" x14ac:dyDescent="0.3">
      <c r="A133" s="2" t="s">
        <v>35</v>
      </c>
      <c r="B133" s="2" t="s">
        <v>453</v>
      </c>
      <c r="C133" s="2" t="s">
        <v>454</v>
      </c>
      <c r="D133" s="2" t="s">
        <v>91</v>
      </c>
      <c r="E133" s="2" t="s">
        <v>455</v>
      </c>
      <c r="F133" s="2">
        <v>2014</v>
      </c>
      <c r="G133" s="2">
        <v>66</v>
      </c>
      <c r="H133" s="2">
        <v>14</v>
      </c>
      <c r="I133" s="2">
        <v>10</v>
      </c>
      <c r="J133" s="2">
        <v>19</v>
      </c>
      <c r="K133" s="2">
        <v>25</v>
      </c>
      <c r="L133" s="2">
        <f t="shared" ca="1" si="16"/>
        <v>12</v>
      </c>
      <c r="M133" s="2">
        <v>17</v>
      </c>
      <c r="N133" s="2">
        <v>28</v>
      </c>
      <c r="O133" s="2">
        <v>912</v>
      </c>
      <c r="P133" s="2">
        <f t="shared" ca="1" si="17"/>
        <v>1.4166666666666667</v>
      </c>
      <c r="Q133" s="2">
        <f t="shared" ca="1" si="18"/>
        <v>44.722222222222229</v>
      </c>
      <c r="R133" s="2">
        <v>9.8732000000000006</v>
      </c>
      <c r="S133" s="2">
        <f t="shared" si="23"/>
        <v>52.448957575757575</v>
      </c>
      <c r="T133" s="2">
        <v>17</v>
      </c>
      <c r="U133" s="2">
        <v>29</v>
      </c>
      <c r="V133" s="2">
        <v>41.352899999999998</v>
      </c>
      <c r="W133" s="2">
        <f t="shared" si="19"/>
        <v>26.514133966622406</v>
      </c>
      <c r="X133" s="2">
        <v>6</v>
      </c>
      <c r="Y133" s="2">
        <f t="shared" si="20"/>
        <v>22.203603311174518</v>
      </c>
      <c r="Z133" s="2">
        <v>32</v>
      </c>
      <c r="AA133" s="2">
        <f t="shared" si="21"/>
        <v>23.323807579381203</v>
      </c>
      <c r="AB133" s="2">
        <f t="shared" si="22"/>
        <v>20.34697274780698</v>
      </c>
      <c r="AC133" s="2">
        <v>66.633300000000006</v>
      </c>
      <c r="AD133" s="2">
        <v>13</v>
      </c>
      <c r="AE133" s="2">
        <v>5</v>
      </c>
      <c r="AF133" s="2">
        <v>9</v>
      </c>
      <c r="AG133" s="2">
        <v>7</v>
      </c>
      <c r="AH133" s="2">
        <v>8</v>
      </c>
      <c r="AI133" t="s">
        <v>93</v>
      </c>
    </row>
    <row r="134" spans="1:35" x14ac:dyDescent="0.3">
      <c r="A134" s="2" t="s">
        <v>35</v>
      </c>
      <c r="B134" s="2" t="s">
        <v>456</v>
      </c>
      <c r="C134" s="2" t="s">
        <v>457</v>
      </c>
      <c r="D134" s="2" t="s">
        <v>240</v>
      </c>
      <c r="E134" s="2" t="s">
        <v>458</v>
      </c>
      <c r="F134" s="2">
        <v>2008</v>
      </c>
      <c r="G134" s="2">
        <v>32</v>
      </c>
      <c r="H134" s="2">
        <v>0</v>
      </c>
      <c r="I134" s="2">
        <v>27</v>
      </c>
      <c r="J134" s="2">
        <v>25</v>
      </c>
      <c r="K134" s="2">
        <v>27</v>
      </c>
      <c r="L134" s="2">
        <f t="shared" ca="1" si="16"/>
        <v>18</v>
      </c>
      <c r="M134" s="2">
        <v>4</v>
      </c>
      <c r="N134" s="2">
        <v>1</v>
      </c>
      <c r="O134" s="2">
        <v>71</v>
      </c>
      <c r="P134" s="2">
        <f t="shared" ca="1" si="17"/>
        <v>0.22222222222222221</v>
      </c>
      <c r="Q134" s="2">
        <f t="shared" ca="1" si="18"/>
        <v>55.381944444444443</v>
      </c>
      <c r="R134" s="2">
        <v>3.3664999999999998</v>
      </c>
      <c r="S134" s="2">
        <f t="shared" si="23"/>
        <v>58.054000000000002</v>
      </c>
      <c r="T134" s="2">
        <v>4</v>
      </c>
      <c r="U134" s="2">
        <v>7</v>
      </c>
      <c r="V134" s="2">
        <v>13.25</v>
      </c>
      <c r="W134" s="2">
        <f t="shared" si="19"/>
        <v>7.2801098892805181</v>
      </c>
      <c r="X134" s="2">
        <v>2</v>
      </c>
      <c r="Y134" s="2">
        <f t="shared" si="20"/>
        <v>5.2915026221291814</v>
      </c>
      <c r="Z134" s="2">
        <v>6.5</v>
      </c>
      <c r="AA134" s="2">
        <f t="shared" si="21"/>
        <v>5.0990195135927845</v>
      </c>
      <c r="AB134" s="2">
        <f t="shared" si="22"/>
        <v>6.0827625302982193</v>
      </c>
      <c r="AC134" s="2">
        <v>9.1652000000000005</v>
      </c>
      <c r="AD134" s="2">
        <v>4</v>
      </c>
      <c r="AE134" s="2">
        <v>1</v>
      </c>
      <c r="AF134" s="2">
        <v>1</v>
      </c>
      <c r="AG134" s="2">
        <v>0</v>
      </c>
      <c r="AH134" s="2">
        <v>4</v>
      </c>
      <c r="AI134" t="s">
        <v>45</v>
      </c>
    </row>
    <row r="135" spans="1:35" x14ac:dyDescent="0.3">
      <c r="A135" s="2" t="s">
        <v>35</v>
      </c>
      <c r="B135" s="2" t="s">
        <v>459</v>
      </c>
      <c r="C135" s="2" t="s">
        <v>460</v>
      </c>
      <c r="D135" s="2" t="s">
        <v>43</v>
      </c>
      <c r="E135" s="2" t="s">
        <v>461</v>
      </c>
      <c r="F135" s="2">
        <v>2009</v>
      </c>
      <c r="G135" s="2">
        <v>16</v>
      </c>
      <c r="H135" s="2">
        <v>0</v>
      </c>
      <c r="I135" s="2">
        <v>16</v>
      </c>
      <c r="J135" s="2">
        <v>10</v>
      </c>
      <c r="K135" s="2">
        <v>16</v>
      </c>
      <c r="L135" s="2">
        <f t="shared" ca="1" si="16"/>
        <v>17</v>
      </c>
      <c r="M135" s="2">
        <v>4</v>
      </c>
      <c r="N135" s="2">
        <v>2</v>
      </c>
      <c r="O135" s="2">
        <v>49</v>
      </c>
      <c r="P135" s="2">
        <f t="shared" ca="1" si="17"/>
        <v>0.23529411764705882</v>
      </c>
      <c r="Q135" s="2">
        <f t="shared" ca="1" si="18"/>
        <v>76.470588235294116</v>
      </c>
      <c r="R135" s="2">
        <v>1.9225000000000001</v>
      </c>
      <c r="S135" s="2">
        <f t="shared" si="23"/>
        <v>76.922499999999999</v>
      </c>
      <c r="T135" s="2">
        <v>4</v>
      </c>
      <c r="U135" s="2">
        <v>7</v>
      </c>
      <c r="V135" s="2">
        <v>11.5</v>
      </c>
      <c r="W135" s="2">
        <f t="shared" si="19"/>
        <v>6.7823299831252681</v>
      </c>
      <c r="X135" s="2">
        <v>2</v>
      </c>
      <c r="Y135" s="2">
        <f t="shared" si="20"/>
        <v>5.2915026221291814</v>
      </c>
      <c r="Z135" s="2">
        <v>11</v>
      </c>
      <c r="AA135" s="2">
        <f t="shared" si="21"/>
        <v>6.6332495807107996</v>
      </c>
      <c r="AB135" s="2">
        <f t="shared" si="22"/>
        <v>5.4772255750516612</v>
      </c>
      <c r="AC135" s="2">
        <v>9.6953999999999994</v>
      </c>
      <c r="AD135" s="2">
        <v>4</v>
      </c>
      <c r="AE135" s="2">
        <v>2</v>
      </c>
      <c r="AF135" s="2">
        <v>0</v>
      </c>
      <c r="AG135" s="2">
        <v>0</v>
      </c>
      <c r="AH135" s="2">
        <v>2</v>
      </c>
      <c r="AI135" t="s">
        <v>45</v>
      </c>
    </row>
    <row r="136" spans="1:35" x14ac:dyDescent="0.3">
      <c r="A136" s="2" t="s">
        <v>35</v>
      </c>
      <c r="B136" s="2" t="s">
        <v>462</v>
      </c>
      <c r="C136" s="2" t="s">
        <v>463</v>
      </c>
      <c r="D136" s="2" t="s">
        <v>43</v>
      </c>
      <c r="E136" s="2" t="s">
        <v>464</v>
      </c>
      <c r="F136" s="2">
        <v>2005</v>
      </c>
      <c r="G136" s="2">
        <v>20</v>
      </c>
      <c r="H136" s="2">
        <v>4</v>
      </c>
      <c r="I136" s="2">
        <v>2</v>
      </c>
      <c r="J136" s="2">
        <v>2</v>
      </c>
      <c r="K136" s="2">
        <v>2</v>
      </c>
      <c r="L136" s="2">
        <f t="shared" ca="1" si="16"/>
        <v>21</v>
      </c>
      <c r="M136" s="2">
        <v>7</v>
      </c>
      <c r="N136" s="2">
        <v>7</v>
      </c>
      <c r="O136" s="2">
        <v>124</v>
      </c>
      <c r="P136" s="2">
        <f t="shared" ca="1" si="17"/>
        <v>0.33333333333333331</v>
      </c>
      <c r="Q136" s="2">
        <f t="shared" ca="1" si="18"/>
        <v>39.666666666666664</v>
      </c>
      <c r="R136" s="2">
        <v>4.1779999999999999</v>
      </c>
      <c r="S136" s="2">
        <f t="shared" si="23"/>
        <v>42.177999999999997</v>
      </c>
      <c r="T136" s="2">
        <v>7</v>
      </c>
      <c r="U136" s="2">
        <v>11</v>
      </c>
      <c r="V136" s="2">
        <v>15.571400000000001</v>
      </c>
      <c r="W136" s="2">
        <f t="shared" si="19"/>
        <v>10.440296930643305</v>
      </c>
      <c r="X136" s="2">
        <v>4</v>
      </c>
      <c r="Y136" s="2">
        <f t="shared" si="20"/>
        <v>8.7749643873921226</v>
      </c>
      <c r="Z136" s="2">
        <v>16</v>
      </c>
      <c r="AA136" s="2">
        <f t="shared" si="21"/>
        <v>10.583005244258363</v>
      </c>
      <c r="AB136" s="2">
        <f t="shared" si="22"/>
        <v>7.7459537824595888</v>
      </c>
      <c r="AC136" s="2">
        <v>19.339099999999998</v>
      </c>
      <c r="AD136" s="2">
        <v>5</v>
      </c>
      <c r="AE136" s="2">
        <v>0</v>
      </c>
      <c r="AF136" s="2">
        <v>3</v>
      </c>
      <c r="AG136" s="2">
        <v>5</v>
      </c>
      <c r="AH136" s="2">
        <v>1</v>
      </c>
      <c r="AI136" t="s">
        <v>45</v>
      </c>
    </row>
    <row r="137" spans="1:35" x14ac:dyDescent="0.3">
      <c r="A137" s="2" t="s">
        <v>35</v>
      </c>
      <c r="B137" s="2" t="s">
        <v>465</v>
      </c>
      <c r="C137" s="2" t="s">
        <v>466</v>
      </c>
      <c r="D137" s="2" t="s">
        <v>74</v>
      </c>
      <c r="E137" s="2" t="s">
        <v>467</v>
      </c>
      <c r="F137" s="2">
        <v>1975</v>
      </c>
      <c r="G137" s="2">
        <v>17</v>
      </c>
      <c r="H137" s="2">
        <v>1</v>
      </c>
      <c r="I137" s="2">
        <v>14</v>
      </c>
      <c r="J137" s="2">
        <v>12</v>
      </c>
      <c r="K137" s="2">
        <v>14</v>
      </c>
      <c r="L137" s="2">
        <f t="shared" ca="1" si="16"/>
        <v>51</v>
      </c>
      <c r="M137" s="2">
        <v>3</v>
      </c>
      <c r="N137" s="2">
        <v>2</v>
      </c>
      <c r="O137" s="2">
        <v>34</v>
      </c>
      <c r="P137" s="2">
        <f t="shared" ca="1" si="17"/>
        <v>5.8823529411764705E-2</v>
      </c>
      <c r="Q137" s="2">
        <f t="shared" ca="1" si="18"/>
        <v>58.581314878892741</v>
      </c>
      <c r="R137" s="2">
        <v>2.2637999999999998</v>
      </c>
      <c r="S137" s="2">
        <f t="shared" si="23"/>
        <v>60.499094117647061</v>
      </c>
      <c r="T137" s="2">
        <v>3</v>
      </c>
      <c r="U137" s="2">
        <v>5</v>
      </c>
      <c r="V137" s="2">
        <v>10</v>
      </c>
      <c r="W137" s="2">
        <f t="shared" si="19"/>
        <v>5.4772255750516612</v>
      </c>
      <c r="X137" s="2">
        <v>2</v>
      </c>
      <c r="Y137" s="2">
        <f t="shared" si="20"/>
        <v>3.872983346207417</v>
      </c>
      <c r="Z137" s="2">
        <v>13</v>
      </c>
      <c r="AA137" s="2">
        <f t="shared" si="21"/>
        <v>6.2449979983983983</v>
      </c>
      <c r="AB137" s="2">
        <f t="shared" si="22"/>
        <v>4.5825756949558398</v>
      </c>
      <c r="AC137" s="2">
        <v>7</v>
      </c>
      <c r="AD137" s="2">
        <v>3</v>
      </c>
      <c r="AE137" s="2">
        <v>0</v>
      </c>
      <c r="AF137" s="2">
        <v>1</v>
      </c>
      <c r="AG137" s="2">
        <v>0</v>
      </c>
      <c r="AH137" s="2">
        <v>3</v>
      </c>
      <c r="AI137" t="s">
        <v>45</v>
      </c>
    </row>
    <row r="138" spans="1:35" x14ac:dyDescent="0.3">
      <c r="A138" s="2" t="s">
        <v>35</v>
      </c>
      <c r="B138" s="2" t="s">
        <v>468</v>
      </c>
      <c r="C138" s="2" t="s">
        <v>469</v>
      </c>
      <c r="D138" s="2" t="s">
        <v>128</v>
      </c>
      <c r="E138" s="2" t="s">
        <v>470</v>
      </c>
      <c r="F138" s="2">
        <v>2012</v>
      </c>
      <c r="G138" s="2">
        <v>8</v>
      </c>
      <c r="H138" s="2">
        <v>1</v>
      </c>
      <c r="I138" s="2">
        <v>7</v>
      </c>
      <c r="J138" s="2">
        <v>4</v>
      </c>
      <c r="K138" s="2">
        <v>7</v>
      </c>
      <c r="L138" s="2">
        <f t="shared" ca="1" si="16"/>
        <v>14</v>
      </c>
      <c r="M138" s="2">
        <v>1</v>
      </c>
      <c r="N138" s="2">
        <v>0</v>
      </c>
      <c r="O138" s="2">
        <v>1</v>
      </c>
      <c r="P138" s="2">
        <f t="shared" ca="1" si="17"/>
        <v>7.1428571428571425E-2</v>
      </c>
      <c r="Q138" s="2">
        <f t="shared" ca="1" si="18"/>
        <v>55.892857142857146</v>
      </c>
      <c r="R138" s="2">
        <v>0.31619999999999998</v>
      </c>
      <c r="S138" s="2">
        <f t="shared" si="23"/>
        <v>55.316200000000009</v>
      </c>
      <c r="T138" s="2">
        <v>1</v>
      </c>
      <c r="U138" s="2">
        <v>1</v>
      </c>
      <c r="V138" s="2">
        <v>1</v>
      </c>
      <c r="W138" s="2">
        <f t="shared" si="19"/>
        <v>1</v>
      </c>
      <c r="X138" s="2">
        <v>1</v>
      </c>
      <c r="Y138" s="2">
        <f t="shared" si="20"/>
        <v>1</v>
      </c>
      <c r="Z138" s="2">
        <v>1</v>
      </c>
      <c r="AA138" s="2">
        <f t="shared" si="21"/>
        <v>1</v>
      </c>
      <c r="AB138" s="2">
        <f t="shared" si="22"/>
        <v>0</v>
      </c>
      <c r="AC138" s="2">
        <v>1</v>
      </c>
      <c r="AD138" s="2">
        <v>0</v>
      </c>
      <c r="AE138" s="2">
        <v>1</v>
      </c>
      <c r="AF138" s="2">
        <v>0</v>
      </c>
      <c r="AG138" s="2">
        <v>0</v>
      </c>
      <c r="AH138" s="2">
        <v>0</v>
      </c>
      <c r="AI138" t="s">
        <v>45</v>
      </c>
    </row>
    <row r="139" spans="1:35" x14ac:dyDescent="0.3">
      <c r="A139" s="2" t="s">
        <v>35</v>
      </c>
      <c r="B139" s="2" t="s">
        <v>471</v>
      </c>
      <c r="C139" s="2" t="s">
        <v>472</v>
      </c>
      <c r="D139" s="2" t="s">
        <v>43</v>
      </c>
      <c r="E139" s="2" t="s">
        <v>473</v>
      </c>
      <c r="F139" s="2">
        <v>2011</v>
      </c>
      <c r="G139" s="2">
        <v>18</v>
      </c>
      <c r="H139" s="2">
        <v>0</v>
      </c>
      <c r="I139" s="2">
        <v>17</v>
      </c>
      <c r="J139" s="2">
        <v>15</v>
      </c>
      <c r="K139" s="2">
        <v>17</v>
      </c>
      <c r="L139" s="2">
        <f t="shared" ca="1" si="16"/>
        <v>15</v>
      </c>
      <c r="M139" s="2">
        <v>1</v>
      </c>
      <c r="N139" s="2">
        <v>0</v>
      </c>
      <c r="O139" s="2">
        <v>10</v>
      </c>
      <c r="P139" s="2">
        <f t="shared" ca="1" si="17"/>
        <v>6.6666666666666666E-2</v>
      </c>
      <c r="Q139" s="2">
        <f t="shared" ca="1" si="18"/>
        <v>53.148148148148145</v>
      </c>
      <c r="R139" s="2">
        <v>1.1832</v>
      </c>
      <c r="S139" s="2">
        <f t="shared" si="23"/>
        <v>53.960977777777778</v>
      </c>
      <c r="T139" s="2">
        <v>1</v>
      </c>
      <c r="U139" s="2">
        <v>3</v>
      </c>
      <c r="V139" s="2">
        <v>7</v>
      </c>
      <c r="W139" s="2">
        <f t="shared" si="19"/>
        <v>2.6457513110645907</v>
      </c>
      <c r="X139" s="2">
        <v>1</v>
      </c>
      <c r="Y139" s="2">
        <f t="shared" si="20"/>
        <v>1.7320508075688772</v>
      </c>
      <c r="Z139" s="2">
        <v>7</v>
      </c>
      <c r="AA139" s="2">
        <f t="shared" si="21"/>
        <v>2.6457513110645907</v>
      </c>
      <c r="AB139" s="2">
        <f t="shared" si="22"/>
        <v>2.4494897427831779</v>
      </c>
      <c r="AC139" s="2">
        <v>2.6457999999999999</v>
      </c>
      <c r="AD139" s="2">
        <v>1</v>
      </c>
      <c r="AE139" s="2">
        <v>1</v>
      </c>
      <c r="AF139" s="2">
        <v>0</v>
      </c>
      <c r="AG139" s="2">
        <v>0</v>
      </c>
      <c r="AH139" s="2">
        <v>1</v>
      </c>
      <c r="AI139" t="s">
        <v>45</v>
      </c>
    </row>
    <row r="140" spans="1:35" x14ac:dyDescent="0.3">
      <c r="A140" s="2" t="s">
        <v>35</v>
      </c>
      <c r="B140" s="2" t="s">
        <v>474</v>
      </c>
      <c r="C140" s="2" t="s">
        <v>475</v>
      </c>
      <c r="D140" s="2" t="s">
        <v>51</v>
      </c>
      <c r="E140" s="2" t="s">
        <v>476</v>
      </c>
      <c r="F140" s="2">
        <v>2017</v>
      </c>
      <c r="G140" s="2">
        <v>2</v>
      </c>
      <c r="H140" s="2">
        <v>0</v>
      </c>
      <c r="I140" s="2">
        <v>0</v>
      </c>
      <c r="J140" s="2">
        <v>0</v>
      </c>
      <c r="K140" s="2">
        <v>0</v>
      </c>
      <c r="L140" s="2">
        <f t="shared" ca="1" si="16"/>
        <v>9</v>
      </c>
      <c r="M140" s="2">
        <v>1</v>
      </c>
      <c r="N140" s="2">
        <v>0</v>
      </c>
      <c r="O140" s="2">
        <v>9</v>
      </c>
      <c r="P140" s="2">
        <f t="shared" ca="1" si="17"/>
        <v>0.1111111111111111</v>
      </c>
      <c r="Q140" s="2">
        <f t="shared" ca="1" si="18"/>
        <v>55.555555555555557</v>
      </c>
      <c r="R140" s="2">
        <v>0.94869999999999999</v>
      </c>
      <c r="S140" s="2">
        <f t="shared" si="23"/>
        <v>50.948700000000002</v>
      </c>
      <c r="T140" s="2">
        <v>1</v>
      </c>
      <c r="U140" s="2">
        <v>2</v>
      </c>
      <c r="V140" s="2">
        <v>9</v>
      </c>
      <c r="W140" s="2">
        <f t="shared" si="19"/>
        <v>3</v>
      </c>
      <c r="X140" s="2">
        <v>1</v>
      </c>
      <c r="Y140" s="2">
        <f t="shared" si="20"/>
        <v>1.4142135623730951</v>
      </c>
      <c r="Z140" s="2">
        <v>9</v>
      </c>
      <c r="AA140" s="2">
        <f t="shared" si="21"/>
        <v>3</v>
      </c>
      <c r="AB140" s="2">
        <f t="shared" si="22"/>
        <v>2.8284271247461903</v>
      </c>
      <c r="AC140" s="2">
        <v>3</v>
      </c>
      <c r="AD140" s="2">
        <v>1</v>
      </c>
      <c r="AE140" s="2">
        <v>0</v>
      </c>
      <c r="AF140" s="2">
        <v>0</v>
      </c>
      <c r="AG140" s="2">
        <v>1</v>
      </c>
      <c r="AH140" s="2">
        <v>0</v>
      </c>
      <c r="AI140" t="s">
        <v>40</v>
      </c>
    </row>
    <row r="141" spans="1:35" x14ac:dyDescent="0.3">
      <c r="A141" s="2" t="s">
        <v>35</v>
      </c>
      <c r="B141" s="2" t="s">
        <v>477</v>
      </c>
      <c r="C141" s="2" t="s">
        <v>478</v>
      </c>
      <c r="D141" s="2" t="s">
        <v>55</v>
      </c>
      <c r="E141" s="2" t="s">
        <v>479</v>
      </c>
      <c r="F141" s="2">
        <v>2002</v>
      </c>
      <c r="G141" s="2">
        <v>9</v>
      </c>
      <c r="H141" s="2">
        <v>0</v>
      </c>
      <c r="I141" s="2">
        <v>9</v>
      </c>
      <c r="J141" s="2">
        <v>7</v>
      </c>
      <c r="K141" s="2">
        <v>9</v>
      </c>
      <c r="L141" s="2">
        <f t="shared" ca="1" si="16"/>
        <v>24</v>
      </c>
      <c r="M141" s="2">
        <v>1</v>
      </c>
      <c r="N141" s="2">
        <v>0</v>
      </c>
      <c r="O141" s="2">
        <v>4</v>
      </c>
      <c r="P141" s="2">
        <f t="shared" ca="1" si="17"/>
        <v>4.1666666666666664E-2</v>
      </c>
      <c r="Q141" s="2">
        <f t="shared" ca="1" si="18"/>
        <v>61.574074074074076</v>
      </c>
      <c r="R141" s="2">
        <v>0.65469999999999995</v>
      </c>
      <c r="S141" s="2">
        <f t="shared" si="23"/>
        <v>61.765811111111105</v>
      </c>
      <c r="T141" s="2">
        <v>1</v>
      </c>
      <c r="U141" s="2">
        <v>2</v>
      </c>
      <c r="V141" s="2">
        <v>3</v>
      </c>
      <c r="W141" s="2">
        <f t="shared" si="19"/>
        <v>1.7320508075688772</v>
      </c>
      <c r="X141" s="2">
        <v>1</v>
      </c>
      <c r="Y141" s="2">
        <f t="shared" si="20"/>
        <v>1.4142135623730951</v>
      </c>
      <c r="Z141" s="2">
        <v>3</v>
      </c>
      <c r="AA141" s="2">
        <f t="shared" si="21"/>
        <v>1.7320508075688772</v>
      </c>
      <c r="AB141" s="2">
        <f t="shared" si="22"/>
        <v>1.4142135623730951</v>
      </c>
      <c r="AC141" s="2">
        <v>1.7321</v>
      </c>
      <c r="AD141" s="2">
        <v>1</v>
      </c>
      <c r="AE141" s="2">
        <v>0</v>
      </c>
      <c r="AF141" s="2">
        <v>0</v>
      </c>
      <c r="AG141" s="2">
        <v>0</v>
      </c>
      <c r="AH141" s="2">
        <v>1</v>
      </c>
      <c r="AI141" t="s">
        <v>45</v>
      </c>
    </row>
    <row r="142" spans="1:35" x14ac:dyDescent="0.3">
      <c r="A142" s="2" t="s">
        <v>35</v>
      </c>
      <c r="B142" s="2" t="s">
        <v>480</v>
      </c>
      <c r="C142" s="2" t="s">
        <v>481</v>
      </c>
      <c r="D142" s="2" t="s">
        <v>74</v>
      </c>
      <c r="E142" s="2" t="s">
        <v>482</v>
      </c>
      <c r="F142" s="2">
        <v>1991</v>
      </c>
      <c r="G142" s="2">
        <v>656</v>
      </c>
      <c r="H142" s="2">
        <v>265</v>
      </c>
      <c r="I142" s="2">
        <v>153</v>
      </c>
      <c r="J142" s="2">
        <v>254</v>
      </c>
      <c r="K142" s="2">
        <v>311</v>
      </c>
      <c r="L142" s="2">
        <f t="shared" ca="1" si="16"/>
        <v>35</v>
      </c>
      <c r="M142" s="2">
        <v>65</v>
      </c>
      <c r="N142" s="2">
        <v>255</v>
      </c>
      <c r="O142" s="2">
        <v>16495</v>
      </c>
      <c r="P142" s="2">
        <f t="shared" ca="1" si="17"/>
        <v>1.8571428571428572</v>
      </c>
      <c r="Q142" s="2">
        <f t="shared" ca="1" si="18"/>
        <v>29.856271777003485</v>
      </c>
      <c r="R142" s="2">
        <v>34.4054</v>
      </c>
      <c r="S142" s="2">
        <f t="shared" si="23"/>
        <v>63.978570731707322</v>
      </c>
      <c r="T142" s="2">
        <v>65</v>
      </c>
      <c r="U142" s="2">
        <v>110</v>
      </c>
      <c r="V142" s="2">
        <v>150.33850000000001</v>
      </c>
      <c r="W142" s="2">
        <f t="shared" si="19"/>
        <v>98.853439495042352</v>
      </c>
      <c r="X142" s="2">
        <v>13</v>
      </c>
      <c r="Y142" s="2">
        <f t="shared" si="20"/>
        <v>84.557672626438816</v>
      </c>
      <c r="Z142" s="2">
        <v>110</v>
      </c>
      <c r="AA142" s="2">
        <f t="shared" si="21"/>
        <v>84.557672626438816</v>
      </c>
      <c r="AB142" s="2">
        <f t="shared" si="22"/>
        <v>74.478201508897897</v>
      </c>
      <c r="AC142" s="2">
        <v>463.80709999999999</v>
      </c>
      <c r="AD142" s="2">
        <v>56</v>
      </c>
      <c r="AE142" s="2">
        <v>7</v>
      </c>
      <c r="AF142" s="2">
        <v>12</v>
      </c>
      <c r="AG142" s="2">
        <v>36</v>
      </c>
      <c r="AH142" s="2">
        <v>54</v>
      </c>
      <c r="AI142" t="s">
        <v>45</v>
      </c>
    </row>
    <row r="143" spans="1:35" x14ac:dyDescent="0.3">
      <c r="A143" s="2" t="s">
        <v>35</v>
      </c>
      <c r="B143" s="2" t="s">
        <v>483</v>
      </c>
      <c r="C143" s="2" t="s">
        <v>484</v>
      </c>
      <c r="D143" s="2" t="s">
        <v>43</v>
      </c>
      <c r="E143" s="2" t="s">
        <v>485</v>
      </c>
      <c r="F143" s="2">
        <v>2008</v>
      </c>
      <c r="G143" s="2">
        <v>51</v>
      </c>
      <c r="H143" s="2">
        <v>0</v>
      </c>
      <c r="I143" s="2">
        <v>41</v>
      </c>
      <c r="J143" s="2">
        <v>41</v>
      </c>
      <c r="K143" s="2">
        <v>41</v>
      </c>
      <c r="L143" s="2">
        <f t="shared" ca="1" si="16"/>
        <v>18</v>
      </c>
      <c r="M143" s="2">
        <v>4</v>
      </c>
      <c r="N143" s="2">
        <v>1</v>
      </c>
      <c r="O143" s="2">
        <v>70</v>
      </c>
      <c r="P143" s="2">
        <f t="shared" ca="1" si="17"/>
        <v>0.22222222222222221</v>
      </c>
      <c r="Q143" s="2">
        <f t="shared" ca="1" si="18"/>
        <v>48.474945533769059</v>
      </c>
      <c r="R143" s="2">
        <v>2.2435</v>
      </c>
      <c r="S143" s="2">
        <f t="shared" si="23"/>
        <v>50.282715686274507</v>
      </c>
      <c r="T143" s="2">
        <v>4</v>
      </c>
      <c r="U143" s="2">
        <v>8</v>
      </c>
      <c r="V143" s="2">
        <v>15</v>
      </c>
      <c r="W143" s="2">
        <f t="shared" si="19"/>
        <v>7.745966692414834</v>
      </c>
      <c r="X143" s="2">
        <v>2</v>
      </c>
      <c r="Y143" s="2">
        <f t="shared" si="20"/>
        <v>5.6568542494923806</v>
      </c>
      <c r="Z143" s="2">
        <v>8</v>
      </c>
      <c r="AA143" s="2">
        <f t="shared" si="21"/>
        <v>5.6568542494923806</v>
      </c>
      <c r="AB143" s="2">
        <f t="shared" si="22"/>
        <v>6.6332495807107996</v>
      </c>
      <c r="AC143" s="2">
        <v>10.099500000000001</v>
      </c>
      <c r="AD143" s="2">
        <v>4</v>
      </c>
      <c r="AE143" s="2">
        <v>0</v>
      </c>
      <c r="AF143" s="2">
        <v>2</v>
      </c>
      <c r="AG143" s="2">
        <v>0</v>
      </c>
      <c r="AH143" s="2">
        <v>4</v>
      </c>
      <c r="AI143" t="s">
        <v>45</v>
      </c>
    </row>
    <row r="144" spans="1:35" x14ac:dyDescent="0.3">
      <c r="A144" s="2" t="s">
        <v>35</v>
      </c>
      <c r="B144" s="2" t="s">
        <v>486</v>
      </c>
      <c r="C144" s="2" t="s">
        <v>487</v>
      </c>
      <c r="D144" s="2" t="s">
        <v>109</v>
      </c>
      <c r="E144" s="2" t="s">
        <v>488</v>
      </c>
      <c r="F144" s="2">
        <v>2004</v>
      </c>
      <c r="G144" s="2">
        <v>422</v>
      </c>
      <c r="H144" s="2">
        <v>100</v>
      </c>
      <c r="I144" s="2">
        <v>101</v>
      </c>
      <c r="J144" s="2">
        <v>118</v>
      </c>
      <c r="K144" s="2">
        <v>173</v>
      </c>
      <c r="L144" s="2">
        <f t="shared" ca="1" si="16"/>
        <v>22</v>
      </c>
      <c r="M144" s="2">
        <v>43</v>
      </c>
      <c r="N144" s="2">
        <v>139</v>
      </c>
      <c r="O144" s="2">
        <v>6121</v>
      </c>
      <c r="P144" s="2">
        <f t="shared" ca="1" si="17"/>
        <v>1.9545454545454546</v>
      </c>
      <c r="Q144" s="2">
        <f t="shared" ca="1" si="18"/>
        <v>28.780697975010771</v>
      </c>
      <c r="R144" s="2">
        <v>24.749300000000002</v>
      </c>
      <c r="S144" s="2">
        <f t="shared" si="23"/>
        <v>53.0668355450237</v>
      </c>
      <c r="T144" s="2">
        <v>43</v>
      </c>
      <c r="U144" s="2">
        <v>63</v>
      </c>
      <c r="V144" s="2">
        <v>75.767399999999995</v>
      </c>
      <c r="W144" s="2">
        <f t="shared" si="19"/>
        <v>57.078877003669227</v>
      </c>
      <c r="X144" s="2">
        <v>10</v>
      </c>
      <c r="Y144" s="2">
        <f t="shared" si="20"/>
        <v>52.04805471869242</v>
      </c>
      <c r="Z144" s="2">
        <v>61</v>
      </c>
      <c r="AA144" s="2">
        <f t="shared" si="21"/>
        <v>51.215232109207513</v>
      </c>
      <c r="AB144" s="2">
        <f t="shared" si="22"/>
        <v>37.53662478167157</v>
      </c>
      <c r="AC144" s="2">
        <v>235.22970000000001</v>
      </c>
      <c r="AD144" s="2">
        <v>35</v>
      </c>
      <c r="AE144" s="2">
        <v>10</v>
      </c>
      <c r="AF144" s="2">
        <v>12</v>
      </c>
      <c r="AG144" s="2">
        <v>28</v>
      </c>
      <c r="AH144" s="2">
        <v>33</v>
      </c>
      <c r="AI144" t="s">
        <v>93</v>
      </c>
    </row>
    <row r="145" spans="1:35" x14ac:dyDescent="0.3">
      <c r="A145" s="2" t="s">
        <v>35</v>
      </c>
      <c r="B145" s="2" t="s">
        <v>489</v>
      </c>
      <c r="C145" s="2" t="s">
        <v>490</v>
      </c>
      <c r="D145" s="2" t="s">
        <v>67</v>
      </c>
      <c r="E145" s="2" t="s">
        <v>491</v>
      </c>
      <c r="F145" s="2">
        <v>2007</v>
      </c>
      <c r="G145" s="2">
        <v>70</v>
      </c>
      <c r="H145" s="2">
        <v>48</v>
      </c>
      <c r="I145" s="2">
        <v>11</v>
      </c>
      <c r="J145" s="2">
        <v>16</v>
      </c>
      <c r="K145" s="2">
        <v>25</v>
      </c>
      <c r="L145" s="2">
        <f t="shared" ca="1" si="16"/>
        <v>19</v>
      </c>
      <c r="M145" s="2">
        <v>22</v>
      </c>
      <c r="N145" s="2">
        <v>42</v>
      </c>
      <c r="O145" s="2">
        <v>1217</v>
      </c>
      <c r="P145" s="2">
        <f t="shared" ca="1" si="17"/>
        <v>1.1578947368421053</v>
      </c>
      <c r="Q145" s="2">
        <f t="shared" ca="1" si="18"/>
        <v>44.082706766917298</v>
      </c>
      <c r="R145" s="2">
        <v>7.7869999999999999</v>
      </c>
      <c r="S145" s="2">
        <f t="shared" si="23"/>
        <v>50.21557142857143</v>
      </c>
      <c r="T145" s="2">
        <v>22</v>
      </c>
      <c r="U145" s="2">
        <v>32</v>
      </c>
      <c r="V145" s="2">
        <v>39.954500000000003</v>
      </c>
      <c r="W145" s="2">
        <f t="shared" si="19"/>
        <v>29.647917296160959</v>
      </c>
      <c r="X145" s="2">
        <v>6</v>
      </c>
      <c r="Y145" s="2">
        <f t="shared" si="20"/>
        <v>26.532998322843198</v>
      </c>
      <c r="Z145" s="2">
        <v>33</v>
      </c>
      <c r="AA145" s="2">
        <f t="shared" si="21"/>
        <v>26.944387170614959</v>
      </c>
      <c r="AB145" s="2">
        <f t="shared" si="22"/>
        <v>19.874581756605597</v>
      </c>
      <c r="AC145" s="2">
        <v>90.144300000000001</v>
      </c>
      <c r="AD145" s="2">
        <v>12</v>
      </c>
      <c r="AE145" s="2">
        <v>6</v>
      </c>
      <c r="AF145" s="2">
        <v>0</v>
      </c>
      <c r="AG145" s="2">
        <v>18</v>
      </c>
      <c r="AH145" s="2">
        <v>8</v>
      </c>
      <c r="AI145" t="s">
        <v>40</v>
      </c>
    </row>
    <row r="146" spans="1:35" x14ac:dyDescent="0.3">
      <c r="A146" s="2" t="s">
        <v>35</v>
      </c>
      <c r="B146" s="2" t="s">
        <v>492</v>
      </c>
      <c r="C146" s="2" t="s">
        <v>493</v>
      </c>
      <c r="D146" s="2" t="s">
        <v>51</v>
      </c>
      <c r="E146" s="2" t="s">
        <v>494</v>
      </c>
      <c r="F146" s="2">
        <v>1980</v>
      </c>
      <c r="G146" s="2">
        <v>643</v>
      </c>
      <c r="H146" s="2">
        <v>201</v>
      </c>
      <c r="I146" s="2">
        <v>195</v>
      </c>
      <c r="J146" s="2">
        <v>117</v>
      </c>
      <c r="K146" s="2">
        <v>205</v>
      </c>
      <c r="L146" s="2">
        <f t="shared" ca="1" si="16"/>
        <v>46</v>
      </c>
      <c r="M146" s="2">
        <v>59</v>
      </c>
      <c r="N146" s="2">
        <v>253</v>
      </c>
      <c r="O146" s="2">
        <v>29957</v>
      </c>
      <c r="P146" s="2">
        <f t="shared" ca="1" si="17"/>
        <v>1.2826086956521738</v>
      </c>
      <c r="Q146" s="2">
        <f t="shared" ca="1" si="18"/>
        <v>22.190141321252284</v>
      </c>
      <c r="R146" s="2">
        <v>83.472300000000004</v>
      </c>
      <c r="S146" s="2">
        <f t="shared" si="23"/>
        <v>105.46296874027995</v>
      </c>
      <c r="T146" s="2">
        <v>59</v>
      </c>
      <c r="U146" s="2">
        <v>167</v>
      </c>
      <c r="V146" s="2">
        <v>415.37290000000002</v>
      </c>
      <c r="W146" s="2">
        <f t="shared" si="19"/>
        <v>156.5471210211162</v>
      </c>
      <c r="X146" s="2">
        <v>17</v>
      </c>
      <c r="Y146" s="2">
        <f t="shared" si="20"/>
        <v>99.262278837431495</v>
      </c>
      <c r="Z146" s="2">
        <v>107</v>
      </c>
      <c r="AA146" s="2">
        <f t="shared" si="21"/>
        <v>79.454389431925037</v>
      </c>
      <c r="AB146" s="2">
        <f t="shared" si="22"/>
        <v>145.00345202787415</v>
      </c>
      <c r="AC146" s="2">
        <v>505.44040000000001</v>
      </c>
      <c r="AD146" s="2">
        <v>40</v>
      </c>
      <c r="AE146" s="2">
        <v>19</v>
      </c>
      <c r="AF146" s="2">
        <v>30</v>
      </c>
      <c r="AG146" s="2">
        <v>41</v>
      </c>
      <c r="AH146" s="2">
        <v>21</v>
      </c>
      <c r="AI146" t="s">
        <v>40</v>
      </c>
    </row>
    <row r="147" spans="1:35" x14ac:dyDescent="0.3">
      <c r="A147" s="2" t="s">
        <v>35</v>
      </c>
      <c r="B147" s="2" t="s">
        <v>495</v>
      </c>
      <c r="C147" s="2" t="s">
        <v>496</v>
      </c>
      <c r="D147" s="2" t="s">
        <v>91</v>
      </c>
      <c r="E147" s="2" t="s">
        <v>497</v>
      </c>
      <c r="F147" s="2">
        <v>1970</v>
      </c>
      <c r="G147" s="2">
        <v>261</v>
      </c>
      <c r="H147" s="2">
        <v>17</v>
      </c>
      <c r="I147" s="2">
        <v>42</v>
      </c>
      <c r="J147" s="2">
        <v>83</v>
      </c>
      <c r="K147" s="2">
        <v>100</v>
      </c>
      <c r="L147" s="2">
        <f t="shared" ca="1" si="16"/>
        <v>56</v>
      </c>
      <c r="M147" s="2">
        <v>58</v>
      </c>
      <c r="N147" s="2">
        <v>133</v>
      </c>
      <c r="O147" s="2">
        <v>9404</v>
      </c>
      <c r="P147" s="2">
        <f t="shared" ca="1" si="17"/>
        <v>1.0357142857142858</v>
      </c>
      <c r="Q147" s="2">
        <f t="shared" ca="1" si="18"/>
        <v>41.124794745484401</v>
      </c>
      <c r="R147" s="2">
        <v>28.811499999999999</v>
      </c>
      <c r="S147" s="2">
        <f t="shared" si="23"/>
        <v>69.539469348658997</v>
      </c>
      <c r="T147" s="2">
        <v>58</v>
      </c>
      <c r="U147" s="2">
        <v>91</v>
      </c>
      <c r="V147" s="2">
        <v>119.5172</v>
      </c>
      <c r="W147" s="2">
        <f t="shared" si="19"/>
        <v>83.258618773073579</v>
      </c>
      <c r="X147" s="2">
        <v>12</v>
      </c>
      <c r="Y147" s="2">
        <f t="shared" si="20"/>
        <v>72.649845147804683</v>
      </c>
      <c r="Z147" s="2">
        <v>94.5</v>
      </c>
      <c r="AA147" s="2">
        <f t="shared" si="21"/>
        <v>74.033776075518389</v>
      </c>
      <c r="AB147" s="2">
        <f t="shared" si="22"/>
        <v>59.732718002783038</v>
      </c>
      <c r="AC147" s="2">
        <v>384.2278</v>
      </c>
      <c r="AD147" s="2">
        <v>40</v>
      </c>
      <c r="AE147" s="2">
        <v>4</v>
      </c>
      <c r="AF147" s="2">
        <v>20</v>
      </c>
      <c r="AG147" s="2">
        <v>34</v>
      </c>
      <c r="AH147" s="2">
        <v>31</v>
      </c>
      <c r="AI147" t="s">
        <v>93</v>
      </c>
    </row>
    <row r="148" spans="1:35" x14ac:dyDescent="0.3">
      <c r="A148" s="2" t="s">
        <v>35</v>
      </c>
      <c r="B148" s="2" t="s">
        <v>498</v>
      </c>
      <c r="C148" s="2" t="s">
        <v>499</v>
      </c>
      <c r="D148" s="2" t="s">
        <v>43</v>
      </c>
      <c r="E148" s="2" t="s">
        <v>500</v>
      </c>
      <c r="F148" s="2">
        <v>2012</v>
      </c>
      <c r="G148" s="2">
        <v>126</v>
      </c>
      <c r="H148" s="2">
        <v>0</v>
      </c>
      <c r="I148" s="2">
        <v>72</v>
      </c>
      <c r="J148" s="2">
        <v>82</v>
      </c>
      <c r="K148" s="2">
        <v>84</v>
      </c>
      <c r="L148" s="2">
        <f t="shared" ca="1" si="16"/>
        <v>14</v>
      </c>
      <c r="M148" s="2">
        <v>7</v>
      </c>
      <c r="N148" s="2">
        <v>4</v>
      </c>
      <c r="O148" s="2">
        <v>207</v>
      </c>
      <c r="P148" s="2">
        <f t="shared" ca="1" si="17"/>
        <v>0.5</v>
      </c>
      <c r="Q148" s="2">
        <f t="shared" ca="1" si="18"/>
        <v>39.285714285714285</v>
      </c>
      <c r="R148" s="2">
        <v>3.5897000000000001</v>
      </c>
      <c r="S148" s="2">
        <f t="shared" si="23"/>
        <v>42.478588888888886</v>
      </c>
      <c r="T148" s="2">
        <v>7</v>
      </c>
      <c r="U148" s="2">
        <v>11</v>
      </c>
      <c r="V148" s="2">
        <v>14.7143</v>
      </c>
      <c r="W148" s="2">
        <f t="shared" si="19"/>
        <v>10.148896491737414</v>
      </c>
      <c r="X148" s="2">
        <v>3</v>
      </c>
      <c r="Y148" s="2">
        <f t="shared" si="20"/>
        <v>8.7749643873921226</v>
      </c>
      <c r="Z148" s="2">
        <v>10</v>
      </c>
      <c r="AA148" s="2">
        <f t="shared" si="21"/>
        <v>8.3666002653407556</v>
      </c>
      <c r="AB148" s="2">
        <f t="shared" si="22"/>
        <v>7.3484760324845588</v>
      </c>
      <c r="AC148" s="2">
        <v>17.663499999999999</v>
      </c>
      <c r="AD148" s="2">
        <v>7</v>
      </c>
      <c r="AE148" s="2">
        <v>2</v>
      </c>
      <c r="AF148" s="2">
        <v>2</v>
      </c>
      <c r="AG148" s="2">
        <v>0</v>
      </c>
      <c r="AH148" s="2">
        <v>7</v>
      </c>
      <c r="AI148" t="s">
        <v>45</v>
      </c>
    </row>
    <row r="149" spans="1:35" x14ac:dyDescent="0.3">
      <c r="A149" s="2" t="s">
        <v>35</v>
      </c>
      <c r="B149" s="2" t="s">
        <v>501</v>
      </c>
      <c r="C149" s="2" t="s">
        <v>502</v>
      </c>
      <c r="D149" s="2" t="s">
        <v>43</v>
      </c>
      <c r="E149" s="2" t="s">
        <v>503</v>
      </c>
      <c r="F149" s="2">
        <v>2021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f t="shared" ca="1" si="16"/>
        <v>5</v>
      </c>
      <c r="M149" s="2">
        <v>1</v>
      </c>
      <c r="N149" s="2">
        <v>0</v>
      </c>
      <c r="O149" s="2">
        <v>9</v>
      </c>
      <c r="P149" s="2">
        <f t="shared" ca="1" si="17"/>
        <v>0.2</v>
      </c>
      <c r="Q149" s="2">
        <f t="shared" ca="1" si="18"/>
        <v>120</v>
      </c>
      <c r="R149" s="2">
        <v>1.2246999999999999</v>
      </c>
      <c r="S149" s="2">
        <f t="shared" si="23"/>
        <v>101.2247</v>
      </c>
      <c r="T149" s="2">
        <v>1</v>
      </c>
      <c r="U149" s="2">
        <v>1</v>
      </c>
      <c r="V149" s="2">
        <v>9</v>
      </c>
      <c r="W149" s="2">
        <f t="shared" si="19"/>
        <v>3</v>
      </c>
      <c r="X149" s="2">
        <v>1</v>
      </c>
      <c r="Y149" s="2">
        <f t="shared" si="20"/>
        <v>1</v>
      </c>
      <c r="Z149" s="2">
        <v>9</v>
      </c>
      <c r="AA149" s="2">
        <f t="shared" si="21"/>
        <v>3</v>
      </c>
      <c r="AB149" s="2">
        <f t="shared" si="22"/>
        <v>2.8284271247461903</v>
      </c>
      <c r="AC149" s="2">
        <v>3</v>
      </c>
      <c r="AD149" s="2">
        <v>1</v>
      </c>
      <c r="AE149" s="2">
        <v>0</v>
      </c>
      <c r="AF149" s="2">
        <v>0</v>
      </c>
      <c r="AG149" s="2">
        <v>1</v>
      </c>
      <c r="AH149" s="2">
        <v>0</v>
      </c>
      <c r="AI149" t="s">
        <v>45</v>
      </c>
    </row>
    <row r="150" spans="1:35" x14ac:dyDescent="0.3">
      <c r="A150" s="2" t="s">
        <v>35</v>
      </c>
      <c r="B150" s="2" t="s">
        <v>504</v>
      </c>
      <c r="C150" s="2" t="s">
        <v>505</v>
      </c>
      <c r="D150" s="2" t="s">
        <v>187</v>
      </c>
      <c r="E150" s="2" t="s">
        <v>506</v>
      </c>
      <c r="F150" s="2">
        <v>1996</v>
      </c>
      <c r="G150" s="2">
        <v>102</v>
      </c>
      <c r="H150" s="2">
        <v>43</v>
      </c>
      <c r="I150" s="2">
        <v>7</v>
      </c>
      <c r="J150" s="2">
        <v>2</v>
      </c>
      <c r="K150" s="2">
        <v>7</v>
      </c>
      <c r="L150" s="2">
        <f t="shared" ca="1" si="16"/>
        <v>30</v>
      </c>
      <c r="M150" s="2">
        <v>26</v>
      </c>
      <c r="N150" s="2">
        <v>47</v>
      </c>
      <c r="O150" s="2">
        <v>2862</v>
      </c>
      <c r="P150" s="2">
        <f t="shared" ca="1" si="17"/>
        <v>0.8666666666666667</v>
      </c>
      <c r="Q150" s="2">
        <f t="shared" ca="1" si="18"/>
        <v>25.555555555555554</v>
      </c>
      <c r="R150" s="2">
        <v>14.002700000000001</v>
      </c>
      <c r="S150" s="2">
        <f t="shared" si="23"/>
        <v>38.708582352941178</v>
      </c>
      <c r="T150" s="2">
        <v>26</v>
      </c>
      <c r="U150" s="2">
        <v>52</v>
      </c>
      <c r="V150" s="2">
        <v>94.192300000000003</v>
      </c>
      <c r="W150" s="2">
        <f t="shared" si="19"/>
        <v>49.487370105916924</v>
      </c>
      <c r="X150" s="2">
        <v>10</v>
      </c>
      <c r="Y150" s="2">
        <f t="shared" si="20"/>
        <v>36.76955262170047</v>
      </c>
      <c r="Z150" s="2">
        <v>64.5</v>
      </c>
      <c r="AA150" s="2">
        <f t="shared" si="21"/>
        <v>40.951190458886543</v>
      </c>
      <c r="AB150" s="2">
        <f t="shared" si="22"/>
        <v>42.107004167952866</v>
      </c>
      <c r="AC150" s="2">
        <v>144.22900000000001</v>
      </c>
      <c r="AD150" s="2">
        <v>17</v>
      </c>
      <c r="AE150" s="2">
        <v>3</v>
      </c>
      <c r="AF150" s="2">
        <v>15</v>
      </c>
      <c r="AG150" s="2">
        <v>15</v>
      </c>
      <c r="AH150" s="2">
        <v>1</v>
      </c>
      <c r="AI150" t="s">
        <v>45</v>
      </c>
    </row>
    <row r="151" spans="1:35" x14ac:dyDescent="0.3">
      <c r="A151" s="2" t="s">
        <v>35</v>
      </c>
      <c r="B151" s="2" t="s">
        <v>507</v>
      </c>
      <c r="C151" s="2" t="s">
        <v>508</v>
      </c>
      <c r="D151" s="2" t="s">
        <v>74</v>
      </c>
      <c r="E151" s="2" t="s">
        <v>509</v>
      </c>
      <c r="F151" s="2">
        <v>2006</v>
      </c>
      <c r="G151" s="2">
        <v>67</v>
      </c>
      <c r="H151" s="2">
        <v>6</v>
      </c>
      <c r="I151" s="2">
        <v>6</v>
      </c>
      <c r="J151" s="2">
        <v>10</v>
      </c>
      <c r="K151" s="2">
        <v>11</v>
      </c>
      <c r="L151" s="2">
        <f t="shared" ca="1" si="16"/>
        <v>20</v>
      </c>
      <c r="M151" s="2">
        <v>18</v>
      </c>
      <c r="N151" s="2">
        <v>22</v>
      </c>
      <c r="O151" s="2">
        <v>1138</v>
      </c>
      <c r="P151" s="2">
        <f t="shared" ca="1" si="17"/>
        <v>0.9</v>
      </c>
      <c r="Q151" s="2">
        <f t="shared" ca="1" si="18"/>
        <v>35.522388059701491</v>
      </c>
      <c r="R151" s="2">
        <v>10.9413</v>
      </c>
      <c r="S151" s="2">
        <f t="shared" si="23"/>
        <v>45.120404477611942</v>
      </c>
      <c r="T151" s="2">
        <v>18</v>
      </c>
      <c r="U151" s="2">
        <v>33</v>
      </c>
      <c r="V151" s="2">
        <v>54.055599999999998</v>
      </c>
      <c r="W151" s="2">
        <f t="shared" si="19"/>
        <v>31.192960744373082</v>
      </c>
      <c r="X151" s="2">
        <v>7</v>
      </c>
      <c r="Y151" s="2">
        <f t="shared" si="20"/>
        <v>24.372115213907882</v>
      </c>
      <c r="Z151" s="2">
        <v>43</v>
      </c>
      <c r="AA151" s="2">
        <f t="shared" si="21"/>
        <v>27.820855486487112</v>
      </c>
      <c r="AB151" s="2">
        <f t="shared" si="22"/>
        <v>25.475494107082596</v>
      </c>
      <c r="AC151" s="2">
        <v>78.924000000000007</v>
      </c>
      <c r="AD151" s="2">
        <v>11</v>
      </c>
      <c r="AE151" s="2">
        <v>1</v>
      </c>
      <c r="AF151" s="2">
        <v>8</v>
      </c>
      <c r="AG151" s="2">
        <v>11</v>
      </c>
      <c r="AH151" s="2">
        <v>5</v>
      </c>
      <c r="AI151" t="s">
        <v>45</v>
      </c>
    </row>
    <row r="152" spans="1:35" x14ac:dyDescent="0.3">
      <c r="A152" s="2" t="s">
        <v>35</v>
      </c>
      <c r="B152" s="2" t="s">
        <v>510</v>
      </c>
      <c r="C152" s="2" t="s">
        <v>511</v>
      </c>
      <c r="D152" s="2" t="s">
        <v>43</v>
      </c>
      <c r="E152" s="2" t="s">
        <v>512</v>
      </c>
      <c r="F152" s="2">
        <v>2010</v>
      </c>
      <c r="G152" s="2">
        <v>8</v>
      </c>
      <c r="H152" s="2">
        <v>4</v>
      </c>
      <c r="I152" s="2">
        <v>3</v>
      </c>
      <c r="J152" s="2">
        <v>1</v>
      </c>
      <c r="K152" s="2">
        <v>3</v>
      </c>
      <c r="L152" s="2">
        <f t="shared" ca="1" si="16"/>
        <v>16</v>
      </c>
      <c r="M152" s="2">
        <v>2</v>
      </c>
      <c r="N152" s="2">
        <v>2</v>
      </c>
      <c r="O152" s="2">
        <v>40</v>
      </c>
      <c r="P152" s="2">
        <f t="shared" ca="1" si="17"/>
        <v>0.125</v>
      </c>
      <c r="Q152" s="2">
        <f t="shared" ca="1" si="18"/>
        <v>40.3125</v>
      </c>
      <c r="R152" s="2">
        <v>1.5324</v>
      </c>
      <c r="S152" s="2">
        <f t="shared" si="23"/>
        <v>40.282400000000003</v>
      </c>
      <c r="T152" s="2">
        <v>2</v>
      </c>
      <c r="U152" s="2">
        <v>6</v>
      </c>
      <c r="V152" s="2">
        <v>18</v>
      </c>
      <c r="W152" s="2">
        <f t="shared" si="19"/>
        <v>6</v>
      </c>
      <c r="X152" s="2">
        <v>2</v>
      </c>
      <c r="Y152" s="2">
        <f t="shared" si="20"/>
        <v>3.4641016151377544</v>
      </c>
      <c r="Z152" s="2">
        <v>18</v>
      </c>
      <c r="AA152" s="2">
        <f t="shared" si="21"/>
        <v>6</v>
      </c>
      <c r="AB152" s="2">
        <f t="shared" si="22"/>
        <v>5.6568542494923806</v>
      </c>
      <c r="AC152" s="2">
        <v>6.8556999999999997</v>
      </c>
      <c r="AD152" s="2">
        <v>2</v>
      </c>
      <c r="AE152" s="2">
        <v>0</v>
      </c>
      <c r="AF152" s="2">
        <v>0</v>
      </c>
      <c r="AG152" s="2">
        <v>2</v>
      </c>
      <c r="AH152" s="2">
        <v>1</v>
      </c>
      <c r="AI152" t="s">
        <v>45</v>
      </c>
    </row>
    <row r="153" spans="1:35" x14ac:dyDescent="0.3">
      <c r="A153" s="2" t="s">
        <v>35</v>
      </c>
      <c r="B153" s="2" t="s">
        <v>513</v>
      </c>
      <c r="C153" s="2" t="s">
        <v>514</v>
      </c>
      <c r="D153" s="2" t="s">
        <v>43</v>
      </c>
      <c r="E153" s="2" t="s">
        <v>515</v>
      </c>
      <c r="F153" s="2">
        <v>1967</v>
      </c>
      <c r="G153" s="2">
        <v>94</v>
      </c>
      <c r="H153" s="2">
        <v>3</v>
      </c>
      <c r="I153" s="2">
        <v>68</v>
      </c>
      <c r="J153" s="2">
        <v>41</v>
      </c>
      <c r="K153" s="2">
        <v>68</v>
      </c>
      <c r="L153" s="2">
        <f t="shared" ca="1" si="16"/>
        <v>59</v>
      </c>
      <c r="M153" s="2">
        <v>6</v>
      </c>
      <c r="N153" s="2">
        <v>5</v>
      </c>
      <c r="O153" s="2">
        <v>313</v>
      </c>
      <c r="P153" s="2">
        <f t="shared" ca="1" si="17"/>
        <v>0.10169491525423729</v>
      </c>
      <c r="Q153" s="2">
        <f t="shared" ca="1" si="18"/>
        <v>42.342228633249192</v>
      </c>
      <c r="R153" s="2">
        <v>4.8018999999999998</v>
      </c>
      <c r="S153" s="2">
        <f t="shared" si="23"/>
        <v>47.035942553191489</v>
      </c>
      <c r="T153" s="2">
        <v>6</v>
      </c>
      <c r="U153" s="2">
        <v>16</v>
      </c>
      <c r="V153" s="2">
        <v>38.5</v>
      </c>
      <c r="W153" s="2">
        <f t="shared" si="19"/>
        <v>15.198684153570664</v>
      </c>
      <c r="X153" s="2">
        <v>4</v>
      </c>
      <c r="Y153" s="2">
        <f t="shared" si="20"/>
        <v>9.7979589711327115</v>
      </c>
      <c r="Z153" s="2">
        <v>30.5</v>
      </c>
      <c r="AA153" s="2">
        <f t="shared" si="21"/>
        <v>13.527749258468683</v>
      </c>
      <c r="AB153" s="2">
        <f t="shared" si="22"/>
        <v>13.964240043768941</v>
      </c>
      <c r="AC153" s="2">
        <v>23.790800000000001</v>
      </c>
      <c r="AD153" s="2">
        <v>6</v>
      </c>
      <c r="AE153" s="2">
        <v>2</v>
      </c>
      <c r="AF153" s="2">
        <v>3</v>
      </c>
      <c r="AG153" s="2">
        <v>4</v>
      </c>
      <c r="AH153" s="2">
        <v>5</v>
      </c>
      <c r="AI153" t="s">
        <v>45</v>
      </c>
    </row>
    <row r="154" spans="1:35" x14ac:dyDescent="0.3">
      <c r="A154" s="2" t="s">
        <v>35</v>
      </c>
      <c r="B154" s="2" t="s">
        <v>516</v>
      </c>
      <c r="C154" s="2" t="s">
        <v>517</v>
      </c>
      <c r="D154" s="2" t="s">
        <v>55</v>
      </c>
      <c r="E154" s="2" t="s">
        <v>518</v>
      </c>
      <c r="F154" s="2">
        <v>2022</v>
      </c>
      <c r="G154" s="2">
        <v>6</v>
      </c>
      <c r="H154" s="2">
        <v>0</v>
      </c>
      <c r="I154" s="2">
        <v>5</v>
      </c>
      <c r="J154" s="2">
        <v>5</v>
      </c>
      <c r="K154" s="2">
        <v>5</v>
      </c>
      <c r="L154" s="2">
        <f t="shared" ca="1" si="16"/>
        <v>4</v>
      </c>
      <c r="M154" s="2">
        <v>1</v>
      </c>
      <c r="N154" s="2">
        <v>0</v>
      </c>
      <c r="O154" s="2">
        <v>1</v>
      </c>
      <c r="P154" s="2">
        <f t="shared" ca="1" si="17"/>
        <v>0.25</v>
      </c>
      <c r="Q154" s="2">
        <f t="shared" ca="1" si="18"/>
        <v>62.500000000000007</v>
      </c>
      <c r="R154" s="2">
        <v>0.5</v>
      </c>
      <c r="S154" s="2">
        <f t="shared" si="23"/>
        <v>58.833333333333336</v>
      </c>
      <c r="T154" s="2">
        <v>1</v>
      </c>
      <c r="U154" s="2">
        <v>1</v>
      </c>
      <c r="V154" s="2">
        <v>1</v>
      </c>
      <c r="W154" s="2">
        <f t="shared" si="19"/>
        <v>1</v>
      </c>
      <c r="X154" s="2">
        <v>1</v>
      </c>
      <c r="Y154" s="2">
        <f t="shared" si="20"/>
        <v>1</v>
      </c>
      <c r="Z154" s="2">
        <v>1</v>
      </c>
      <c r="AA154" s="2">
        <f t="shared" si="21"/>
        <v>1</v>
      </c>
      <c r="AB154" s="2">
        <f t="shared" si="22"/>
        <v>0</v>
      </c>
      <c r="AC154" s="2">
        <v>1</v>
      </c>
      <c r="AD154" s="2">
        <v>1</v>
      </c>
      <c r="AE154" s="2">
        <v>0</v>
      </c>
      <c r="AF154" s="2">
        <v>0</v>
      </c>
      <c r="AG154" s="2">
        <v>0</v>
      </c>
      <c r="AH154" s="2">
        <v>1</v>
      </c>
      <c r="AI154" t="s">
        <v>45</v>
      </c>
    </row>
    <row r="155" spans="1:35" x14ac:dyDescent="0.3">
      <c r="A155" s="2" t="s">
        <v>35</v>
      </c>
      <c r="B155" s="2" t="s">
        <v>519</v>
      </c>
      <c r="C155" s="2" t="s">
        <v>520</v>
      </c>
      <c r="D155" s="2" t="s">
        <v>99</v>
      </c>
      <c r="E155" s="2" t="s">
        <v>521</v>
      </c>
      <c r="F155" s="2">
        <v>2020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f t="shared" ca="1" si="16"/>
        <v>6</v>
      </c>
      <c r="M155" s="2">
        <v>1</v>
      </c>
      <c r="N155" s="2">
        <v>1</v>
      </c>
      <c r="O155" s="2">
        <v>45</v>
      </c>
      <c r="P155" s="2">
        <f t="shared" ca="1" si="17"/>
        <v>0.16666666666666666</v>
      </c>
      <c r="Q155" s="2">
        <f t="shared" ca="1" si="18"/>
        <v>116.66666666666667</v>
      </c>
      <c r="R155" s="2">
        <v>2.5354999999999999</v>
      </c>
      <c r="S155" s="2">
        <f t="shared" si="23"/>
        <v>102.5355</v>
      </c>
      <c r="T155" s="2">
        <v>1</v>
      </c>
      <c r="U155" s="2">
        <v>1</v>
      </c>
      <c r="V155" s="2">
        <v>45</v>
      </c>
      <c r="W155" s="2">
        <f t="shared" si="19"/>
        <v>6.7082039324993694</v>
      </c>
      <c r="X155" s="2">
        <v>1</v>
      </c>
      <c r="Y155" s="2">
        <f t="shared" si="20"/>
        <v>1</v>
      </c>
      <c r="Z155" s="2">
        <v>45</v>
      </c>
      <c r="AA155" s="2">
        <f t="shared" si="21"/>
        <v>6.7082039324993694</v>
      </c>
      <c r="AB155" s="2">
        <f t="shared" si="22"/>
        <v>6.6332495807107996</v>
      </c>
      <c r="AC155" s="2">
        <v>6.7081999999999997</v>
      </c>
      <c r="AD155" s="2">
        <v>1</v>
      </c>
      <c r="AE155" s="2">
        <v>0</v>
      </c>
      <c r="AF155" s="2">
        <v>0</v>
      </c>
      <c r="AG155" s="2">
        <v>1</v>
      </c>
      <c r="AH155" s="2">
        <v>0</v>
      </c>
      <c r="AI155" t="s">
        <v>45</v>
      </c>
    </row>
    <row r="156" spans="1:35" x14ac:dyDescent="0.3">
      <c r="A156" s="2" t="s">
        <v>35</v>
      </c>
      <c r="B156" s="2" t="s">
        <v>522</v>
      </c>
      <c r="C156" s="2" t="s">
        <v>523</v>
      </c>
      <c r="D156" s="2" t="s">
        <v>150</v>
      </c>
      <c r="E156" s="2" t="s">
        <v>524</v>
      </c>
      <c r="F156" s="2">
        <v>1996</v>
      </c>
      <c r="G156" s="2">
        <v>136</v>
      </c>
      <c r="H156" s="2">
        <v>72</v>
      </c>
      <c r="I156" s="2">
        <v>17</v>
      </c>
      <c r="J156" s="2">
        <v>5</v>
      </c>
      <c r="K156" s="2">
        <v>20</v>
      </c>
      <c r="L156" s="2">
        <f t="shared" ca="1" si="16"/>
        <v>30</v>
      </c>
      <c r="M156" s="2">
        <v>24</v>
      </c>
      <c r="N156" s="2">
        <v>47</v>
      </c>
      <c r="O156" s="2">
        <v>1919</v>
      </c>
      <c r="P156" s="2">
        <f t="shared" ca="1" si="17"/>
        <v>0.8</v>
      </c>
      <c r="Q156" s="2">
        <f t="shared" ca="1" si="18"/>
        <v>20.294117647058826</v>
      </c>
      <c r="R156" s="2">
        <v>10.706099999999999</v>
      </c>
      <c r="S156" s="2">
        <f t="shared" si="23"/>
        <v>30.411982352941177</v>
      </c>
      <c r="T156" s="2">
        <v>24</v>
      </c>
      <c r="U156" s="2">
        <v>40</v>
      </c>
      <c r="V156" s="2">
        <v>57.291699999999999</v>
      </c>
      <c r="W156" s="2">
        <f t="shared" si="19"/>
        <v>37.081003222674546</v>
      </c>
      <c r="X156" s="2">
        <v>8</v>
      </c>
      <c r="Y156" s="2">
        <f t="shared" si="20"/>
        <v>30.983866769659336</v>
      </c>
      <c r="Z156" s="2">
        <v>43.5</v>
      </c>
      <c r="AA156" s="2">
        <f t="shared" si="21"/>
        <v>32.310988842807021</v>
      </c>
      <c r="AB156" s="2">
        <f t="shared" si="22"/>
        <v>28.266602201184352</v>
      </c>
      <c r="AC156" s="2">
        <v>110.0772</v>
      </c>
      <c r="AD156" s="2">
        <v>15</v>
      </c>
      <c r="AE156" s="2">
        <v>6</v>
      </c>
      <c r="AF156" s="2">
        <v>11</v>
      </c>
      <c r="AG156" s="2">
        <v>17</v>
      </c>
      <c r="AH156" s="2">
        <v>2</v>
      </c>
      <c r="AI156" t="s">
        <v>64</v>
      </c>
    </row>
    <row r="157" spans="1:35" x14ac:dyDescent="0.3">
      <c r="A157" s="2" t="s">
        <v>35</v>
      </c>
      <c r="B157" s="2" t="s">
        <v>525</v>
      </c>
      <c r="C157" s="2" t="s">
        <v>526</v>
      </c>
      <c r="D157" s="2" t="s">
        <v>91</v>
      </c>
      <c r="E157" s="2" t="s">
        <v>527</v>
      </c>
      <c r="F157" s="2">
        <v>2011</v>
      </c>
      <c r="G157" s="2">
        <v>21</v>
      </c>
      <c r="H157" s="2">
        <v>3</v>
      </c>
      <c r="I157" s="2">
        <v>11</v>
      </c>
      <c r="J157" s="2">
        <v>2</v>
      </c>
      <c r="K157" s="2">
        <v>11</v>
      </c>
      <c r="L157" s="2">
        <f t="shared" ca="1" si="16"/>
        <v>15</v>
      </c>
      <c r="M157" s="2">
        <v>9</v>
      </c>
      <c r="N157" s="2">
        <v>6</v>
      </c>
      <c r="O157" s="2">
        <v>168</v>
      </c>
      <c r="P157" s="2">
        <f t="shared" ca="1" si="17"/>
        <v>0.6</v>
      </c>
      <c r="Q157" s="2">
        <f t="shared" ca="1" si="18"/>
        <v>70.476190476190467</v>
      </c>
      <c r="R157" s="2">
        <v>3.5634000000000001</v>
      </c>
      <c r="S157" s="2">
        <f t="shared" si="23"/>
        <v>71.182447619047622</v>
      </c>
      <c r="T157" s="2">
        <v>9</v>
      </c>
      <c r="U157" s="2">
        <v>12</v>
      </c>
      <c r="V157" s="2">
        <v>16.333300000000001</v>
      </c>
      <c r="W157" s="2">
        <f t="shared" si="19"/>
        <v>12.124343281184347</v>
      </c>
      <c r="X157" s="2">
        <v>3</v>
      </c>
      <c r="Y157" s="2">
        <f t="shared" si="20"/>
        <v>10.392304845413264</v>
      </c>
      <c r="Z157" s="2">
        <v>10</v>
      </c>
      <c r="AA157" s="2">
        <f t="shared" si="21"/>
        <v>9.4868329805051381</v>
      </c>
      <c r="AB157" s="2">
        <f t="shared" si="22"/>
        <v>8.1240199408913334</v>
      </c>
      <c r="AC157" s="2">
        <v>22.671600000000002</v>
      </c>
      <c r="AD157" s="2">
        <v>6</v>
      </c>
      <c r="AE157" s="2">
        <v>4</v>
      </c>
      <c r="AF157" s="2">
        <v>2</v>
      </c>
      <c r="AG157" s="2">
        <v>3</v>
      </c>
      <c r="AH157" s="2">
        <v>2</v>
      </c>
      <c r="AI157" t="s">
        <v>93</v>
      </c>
    </row>
    <row r="158" spans="1:35" x14ac:dyDescent="0.3">
      <c r="A158" s="2" t="s">
        <v>35</v>
      </c>
      <c r="B158" s="2" t="s">
        <v>528</v>
      </c>
      <c r="C158" s="2" t="s">
        <v>529</v>
      </c>
      <c r="D158" s="2" t="s">
        <v>91</v>
      </c>
      <c r="E158" s="2" t="s">
        <v>530</v>
      </c>
      <c r="F158" s="2">
        <v>2015</v>
      </c>
      <c r="G158" s="2">
        <v>29</v>
      </c>
      <c r="H158" s="2">
        <v>12</v>
      </c>
      <c r="I158" s="2">
        <v>4</v>
      </c>
      <c r="J158" s="2">
        <v>3</v>
      </c>
      <c r="K158" s="2">
        <v>6</v>
      </c>
      <c r="L158" s="2">
        <f t="shared" ca="1" si="16"/>
        <v>11</v>
      </c>
      <c r="M158" s="2">
        <v>5</v>
      </c>
      <c r="N158" s="2">
        <v>2</v>
      </c>
      <c r="O158" s="2">
        <v>67</v>
      </c>
      <c r="P158" s="2">
        <f t="shared" ca="1" si="17"/>
        <v>0.45454545454545453</v>
      </c>
      <c r="Q158" s="2">
        <f t="shared" ca="1" si="18"/>
        <v>25.01567398119122</v>
      </c>
      <c r="R158" s="2">
        <v>4.0926999999999998</v>
      </c>
      <c r="S158" s="2">
        <f t="shared" si="23"/>
        <v>27.540975862068965</v>
      </c>
      <c r="T158" s="2">
        <v>5</v>
      </c>
      <c r="U158" s="2">
        <v>7</v>
      </c>
      <c r="V158" s="2">
        <v>10.4</v>
      </c>
      <c r="W158" s="2">
        <f t="shared" si="19"/>
        <v>7.2111025509279782</v>
      </c>
      <c r="X158" s="2">
        <v>2</v>
      </c>
      <c r="Y158" s="2">
        <f t="shared" si="20"/>
        <v>5.9160797830996161</v>
      </c>
      <c r="Z158" s="2">
        <v>8</v>
      </c>
      <c r="AA158" s="2">
        <f t="shared" si="21"/>
        <v>6.324555320336759</v>
      </c>
      <c r="AB158" s="2">
        <f t="shared" si="22"/>
        <v>5.196152422706632</v>
      </c>
      <c r="AC158" s="2">
        <v>11.313700000000001</v>
      </c>
      <c r="AD158" s="2">
        <v>2</v>
      </c>
      <c r="AE158" s="2">
        <v>1</v>
      </c>
      <c r="AF158" s="2">
        <v>2</v>
      </c>
      <c r="AG158" s="2">
        <v>4</v>
      </c>
      <c r="AH158" s="2">
        <v>1</v>
      </c>
      <c r="AI158" t="s">
        <v>93</v>
      </c>
    </row>
    <row r="159" spans="1:35" x14ac:dyDescent="0.3">
      <c r="A159" s="2" t="s">
        <v>35</v>
      </c>
      <c r="B159" s="2" t="s">
        <v>531</v>
      </c>
      <c r="C159" s="2" t="s">
        <v>532</v>
      </c>
      <c r="D159" s="2" t="s">
        <v>67</v>
      </c>
      <c r="E159" s="2" t="s">
        <v>533</v>
      </c>
      <c r="F159" s="2">
        <v>2026</v>
      </c>
      <c r="G159" s="2">
        <v>1</v>
      </c>
      <c r="H159" s="2">
        <v>1</v>
      </c>
      <c r="I159" s="2">
        <v>0</v>
      </c>
      <c r="J159" s="2">
        <v>0</v>
      </c>
      <c r="K159" s="2">
        <v>0</v>
      </c>
      <c r="L159" s="2">
        <f t="shared" ca="1" si="16"/>
        <v>1</v>
      </c>
      <c r="M159" s="2">
        <v>1</v>
      </c>
      <c r="N159" s="2">
        <v>0</v>
      </c>
      <c r="O159" s="2">
        <v>1</v>
      </c>
      <c r="P159" s="2">
        <f t="shared" ca="1" si="17"/>
        <v>1</v>
      </c>
      <c r="Q159" s="2">
        <f t="shared" ca="1" si="18"/>
        <v>190</v>
      </c>
      <c r="R159" s="2">
        <v>1</v>
      </c>
      <c r="S159" s="2">
        <f t="shared" si="23"/>
        <v>91</v>
      </c>
      <c r="T159" s="2">
        <v>1</v>
      </c>
      <c r="U159" s="2">
        <v>1</v>
      </c>
      <c r="V159" s="2">
        <v>1</v>
      </c>
      <c r="W159" s="2">
        <f t="shared" si="19"/>
        <v>1</v>
      </c>
      <c r="X159" s="2">
        <v>1</v>
      </c>
      <c r="Y159" s="2">
        <f t="shared" si="20"/>
        <v>1</v>
      </c>
      <c r="Z159" s="2">
        <v>1</v>
      </c>
      <c r="AA159" s="2">
        <f t="shared" si="21"/>
        <v>1</v>
      </c>
      <c r="AB159" s="2">
        <f t="shared" si="22"/>
        <v>0</v>
      </c>
      <c r="AC159" s="2">
        <v>1</v>
      </c>
      <c r="AD159" s="2">
        <v>0</v>
      </c>
      <c r="AE159" s="2">
        <v>0</v>
      </c>
      <c r="AF159" s="2">
        <v>0</v>
      </c>
      <c r="AG159" s="2">
        <v>1</v>
      </c>
      <c r="AH159" s="2">
        <v>0</v>
      </c>
      <c r="AI159" t="s">
        <v>40</v>
      </c>
    </row>
    <row r="160" spans="1:35" x14ac:dyDescent="0.3">
      <c r="A160" s="2" t="s">
        <v>35</v>
      </c>
      <c r="B160" s="2" t="s">
        <v>534</v>
      </c>
      <c r="C160" s="2" t="s">
        <v>535</v>
      </c>
      <c r="D160" s="2" t="s">
        <v>187</v>
      </c>
      <c r="E160" s="2" t="s">
        <v>536</v>
      </c>
      <c r="F160" s="2">
        <v>1991</v>
      </c>
      <c r="G160" s="2">
        <v>91</v>
      </c>
      <c r="H160" s="2">
        <v>15</v>
      </c>
      <c r="I160" s="2">
        <v>25</v>
      </c>
      <c r="J160" s="2">
        <v>39</v>
      </c>
      <c r="K160" s="2">
        <v>50</v>
      </c>
      <c r="L160" s="2">
        <f t="shared" ca="1" si="16"/>
        <v>35</v>
      </c>
      <c r="M160" s="2">
        <v>34</v>
      </c>
      <c r="N160" s="2">
        <v>58</v>
      </c>
      <c r="O160" s="2">
        <v>3937</v>
      </c>
      <c r="P160" s="2">
        <f t="shared" ca="1" si="17"/>
        <v>0.97142857142857142</v>
      </c>
      <c r="Q160" s="2">
        <f t="shared" ca="1" si="18"/>
        <v>64.254317111459969</v>
      </c>
      <c r="R160" s="2">
        <v>18.936599999999999</v>
      </c>
      <c r="S160" s="2">
        <f t="shared" si="23"/>
        <v>82.123413186813195</v>
      </c>
      <c r="T160" s="2">
        <v>34</v>
      </c>
      <c r="U160" s="2">
        <v>62</v>
      </c>
      <c r="V160" s="2">
        <v>97.970600000000005</v>
      </c>
      <c r="W160" s="2">
        <f t="shared" si="19"/>
        <v>57.714819587346888</v>
      </c>
      <c r="X160" s="2">
        <v>10</v>
      </c>
      <c r="Y160" s="2">
        <f t="shared" si="20"/>
        <v>45.912961132995989</v>
      </c>
      <c r="Z160" s="2">
        <v>76.5</v>
      </c>
      <c r="AA160" s="2">
        <f t="shared" si="21"/>
        <v>51</v>
      </c>
      <c r="AB160" s="2">
        <f t="shared" si="22"/>
        <v>46.636899553894018</v>
      </c>
      <c r="AC160" s="2">
        <v>200.02</v>
      </c>
      <c r="AD160" s="2">
        <v>29</v>
      </c>
      <c r="AE160" s="2">
        <v>7</v>
      </c>
      <c r="AF160" s="2">
        <v>8</v>
      </c>
      <c r="AG160" s="2">
        <v>11</v>
      </c>
      <c r="AH160" s="2">
        <v>27</v>
      </c>
      <c r="AI160" t="s">
        <v>45</v>
      </c>
    </row>
    <row r="161" spans="1:35" x14ac:dyDescent="0.3">
      <c r="A161" s="2" t="s">
        <v>35</v>
      </c>
      <c r="B161" s="2" t="s">
        <v>537</v>
      </c>
      <c r="C161" s="2" t="s">
        <v>538</v>
      </c>
      <c r="D161" s="2" t="s">
        <v>74</v>
      </c>
      <c r="E161" s="2" t="s">
        <v>539</v>
      </c>
      <c r="F161" s="2">
        <v>2026</v>
      </c>
      <c r="G161" s="2">
        <v>1</v>
      </c>
      <c r="H161" s="2">
        <v>1</v>
      </c>
      <c r="I161" s="2">
        <v>0</v>
      </c>
      <c r="J161" s="2">
        <v>0</v>
      </c>
      <c r="K161" s="2">
        <v>0</v>
      </c>
      <c r="L161" s="2">
        <f t="shared" ca="1" si="16"/>
        <v>1</v>
      </c>
      <c r="M161" s="2">
        <v>1</v>
      </c>
      <c r="N161" s="2">
        <v>0</v>
      </c>
      <c r="O161" s="2">
        <v>1</v>
      </c>
      <c r="P161" s="2">
        <f t="shared" ca="1" si="17"/>
        <v>1</v>
      </c>
      <c r="Q161" s="2">
        <f t="shared" ca="1" si="18"/>
        <v>190</v>
      </c>
      <c r="R161" s="2">
        <v>1</v>
      </c>
      <c r="S161" s="2">
        <f t="shared" si="23"/>
        <v>91</v>
      </c>
      <c r="T161" s="2">
        <v>1</v>
      </c>
      <c r="U161" s="2">
        <v>1</v>
      </c>
      <c r="V161" s="2">
        <v>1</v>
      </c>
      <c r="W161" s="2">
        <f t="shared" si="19"/>
        <v>1</v>
      </c>
      <c r="X161" s="2">
        <v>1</v>
      </c>
      <c r="Y161" s="2">
        <f t="shared" si="20"/>
        <v>1</v>
      </c>
      <c r="Z161" s="2">
        <v>1</v>
      </c>
      <c r="AA161" s="2">
        <f t="shared" si="21"/>
        <v>1</v>
      </c>
      <c r="AB161" s="2">
        <f t="shared" si="22"/>
        <v>0</v>
      </c>
      <c r="AC161" s="2">
        <v>1</v>
      </c>
      <c r="AD161" s="2">
        <v>0</v>
      </c>
      <c r="AE161" s="2">
        <v>0</v>
      </c>
      <c r="AF161" s="2">
        <v>1</v>
      </c>
      <c r="AG161" s="2">
        <v>0</v>
      </c>
      <c r="AH161" s="2">
        <v>0</v>
      </c>
      <c r="AI161" t="s">
        <v>45</v>
      </c>
    </row>
    <row r="162" spans="1:35" x14ac:dyDescent="0.3">
      <c r="A162" s="2" t="s">
        <v>35</v>
      </c>
      <c r="B162" s="2" t="s">
        <v>540</v>
      </c>
      <c r="C162" s="2" t="s">
        <v>541</v>
      </c>
      <c r="D162" s="2" t="s">
        <v>43</v>
      </c>
      <c r="E162" s="2" t="s">
        <v>542</v>
      </c>
      <c r="F162" s="2">
        <v>2002</v>
      </c>
      <c r="G162" s="2">
        <v>17</v>
      </c>
      <c r="H162" s="2">
        <v>0</v>
      </c>
      <c r="I162" s="2">
        <v>17</v>
      </c>
      <c r="J162" s="2">
        <v>17</v>
      </c>
      <c r="K162" s="2">
        <v>17</v>
      </c>
      <c r="L162" s="2">
        <f t="shared" ca="1" si="16"/>
        <v>24</v>
      </c>
      <c r="M162" s="2">
        <v>6</v>
      </c>
      <c r="N162" s="2">
        <v>5</v>
      </c>
      <c r="O162" s="2">
        <v>76</v>
      </c>
      <c r="P162" s="2">
        <f t="shared" ca="1" si="17"/>
        <v>0.25</v>
      </c>
      <c r="Q162" s="2">
        <f t="shared" ca="1" si="18"/>
        <v>86.764705882352942</v>
      </c>
      <c r="R162" s="2">
        <v>2.9510999999999998</v>
      </c>
      <c r="S162" s="2">
        <f t="shared" si="23"/>
        <v>88.245217647058823</v>
      </c>
      <c r="T162" s="2">
        <v>6</v>
      </c>
      <c r="U162" s="2">
        <v>8</v>
      </c>
      <c r="V162" s="2">
        <v>11.166700000000001</v>
      </c>
      <c r="W162" s="2">
        <f t="shared" si="19"/>
        <v>8.1853649888077697</v>
      </c>
      <c r="X162" s="2">
        <v>3</v>
      </c>
      <c r="Y162" s="2">
        <f t="shared" si="20"/>
        <v>6.9282032302755088</v>
      </c>
      <c r="Z162" s="2">
        <v>10.5</v>
      </c>
      <c r="AA162" s="2">
        <f t="shared" si="21"/>
        <v>7.9372539331937721</v>
      </c>
      <c r="AB162" s="2">
        <f t="shared" si="22"/>
        <v>5.5677823233312571</v>
      </c>
      <c r="AC162" s="2">
        <v>14.2478</v>
      </c>
      <c r="AD162" s="2">
        <v>6</v>
      </c>
      <c r="AE162" s="2">
        <v>0</v>
      </c>
      <c r="AF162" s="2">
        <v>0</v>
      </c>
      <c r="AG162" s="2">
        <v>0</v>
      </c>
      <c r="AH162" s="2">
        <v>6</v>
      </c>
      <c r="AI162" t="s">
        <v>45</v>
      </c>
    </row>
    <row r="163" spans="1:35" x14ac:dyDescent="0.3">
      <c r="A163" s="2" t="s">
        <v>35</v>
      </c>
      <c r="B163" s="2" t="s">
        <v>543</v>
      </c>
      <c r="C163" s="2" t="s">
        <v>544</v>
      </c>
      <c r="D163" s="2" t="s">
        <v>109</v>
      </c>
      <c r="E163" s="2" t="s">
        <v>545</v>
      </c>
      <c r="F163" s="2">
        <v>1976</v>
      </c>
      <c r="G163" s="2">
        <v>31</v>
      </c>
      <c r="H163" s="2">
        <v>17</v>
      </c>
      <c r="I163" s="2">
        <v>11</v>
      </c>
      <c r="J163" s="2">
        <v>7</v>
      </c>
      <c r="K163" s="2">
        <v>11</v>
      </c>
      <c r="L163" s="2">
        <f t="shared" ca="1" si="16"/>
        <v>50</v>
      </c>
      <c r="M163" s="2">
        <v>2</v>
      </c>
      <c r="N163" s="2">
        <v>1</v>
      </c>
      <c r="O163" s="2">
        <v>53</v>
      </c>
      <c r="P163" s="2">
        <f t="shared" ca="1" si="17"/>
        <v>0.04</v>
      </c>
      <c r="Q163" s="2">
        <f t="shared" ca="1" si="18"/>
        <v>18.838709677419352</v>
      </c>
      <c r="R163" s="2">
        <v>2.6276999999999999</v>
      </c>
      <c r="S163" s="2">
        <f t="shared" si="23"/>
        <v>21.337377419354837</v>
      </c>
      <c r="T163" s="2">
        <v>2</v>
      </c>
      <c r="U163" s="2">
        <v>7</v>
      </c>
      <c r="V163" s="2">
        <v>24.5</v>
      </c>
      <c r="W163" s="2">
        <f t="shared" si="19"/>
        <v>7</v>
      </c>
      <c r="X163" s="2">
        <v>1</v>
      </c>
      <c r="Y163" s="2">
        <f t="shared" si="20"/>
        <v>3.7416573867739413</v>
      </c>
      <c r="Z163" s="2">
        <v>24.5</v>
      </c>
      <c r="AA163" s="2">
        <f t="shared" si="21"/>
        <v>7</v>
      </c>
      <c r="AB163" s="2">
        <f t="shared" si="22"/>
        <v>6.7082039324993694</v>
      </c>
      <c r="AC163" s="2">
        <v>7.2111000000000001</v>
      </c>
      <c r="AD163" s="2">
        <v>2</v>
      </c>
      <c r="AE163" s="2">
        <v>1</v>
      </c>
      <c r="AF163" s="2">
        <v>0</v>
      </c>
      <c r="AG163" s="2">
        <v>2</v>
      </c>
      <c r="AH163" s="2">
        <v>1</v>
      </c>
      <c r="AI163" t="s">
        <v>93</v>
      </c>
    </row>
    <row r="164" spans="1:35" x14ac:dyDescent="0.3">
      <c r="A164" s="2" t="s">
        <v>35</v>
      </c>
      <c r="B164" s="2" t="s">
        <v>546</v>
      </c>
      <c r="C164" s="2" t="s">
        <v>547</v>
      </c>
      <c r="D164" s="2" t="s">
        <v>51</v>
      </c>
      <c r="E164" s="2" t="s">
        <v>548</v>
      </c>
      <c r="F164" s="2">
        <v>1974</v>
      </c>
      <c r="G164" s="2">
        <v>138</v>
      </c>
      <c r="H164" s="2">
        <v>76</v>
      </c>
      <c r="I164" s="2">
        <v>38</v>
      </c>
      <c r="J164" s="2">
        <v>16</v>
      </c>
      <c r="K164" s="2">
        <v>39</v>
      </c>
      <c r="L164" s="2">
        <f t="shared" ca="1" si="16"/>
        <v>52</v>
      </c>
      <c r="M164" s="2">
        <v>20</v>
      </c>
      <c r="N164" s="2">
        <v>41</v>
      </c>
      <c r="O164" s="2">
        <v>1421</v>
      </c>
      <c r="P164" s="2">
        <f t="shared" ca="1" si="17"/>
        <v>0.38461538461538464</v>
      </c>
      <c r="Q164" s="2">
        <f t="shared" ca="1" si="18"/>
        <v>23.394648829431439</v>
      </c>
      <c r="R164" s="2">
        <v>10.510999999999999</v>
      </c>
      <c r="S164" s="2">
        <f t="shared" si="23"/>
        <v>33.626942028985511</v>
      </c>
      <c r="T164" s="2">
        <v>20</v>
      </c>
      <c r="U164" s="2">
        <v>34</v>
      </c>
      <c r="V164" s="2">
        <v>48.8</v>
      </c>
      <c r="W164" s="2">
        <f t="shared" si="19"/>
        <v>31.240998703626616</v>
      </c>
      <c r="X164" s="2">
        <v>7</v>
      </c>
      <c r="Y164" s="2">
        <f t="shared" si="20"/>
        <v>26.076809620810597</v>
      </c>
      <c r="Z164" s="2">
        <v>40</v>
      </c>
      <c r="AA164" s="2">
        <f t="shared" si="21"/>
        <v>28.284271247461902</v>
      </c>
      <c r="AB164" s="2">
        <f t="shared" si="22"/>
        <v>24</v>
      </c>
      <c r="AC164" s="2">
        <v>86.953999999999994</v>
      </c>
      <c r="AD164" s="2">
        <v>12</v>
      </c>
      <c r="AE164" s="2">
        <v>6</v>
      </c>
      <c r="AF164" s="2">
        <v>13</v>
      </c>
      <c r="AG164" s="2">
        <v>14</v>
      </c>
      <c r="AH164" s="2">
        <v>1</v>
      </c>
      <c r="AI164" t="s">
        <v>40</v>
      </c>
    </row>
    <row r="165" spans="1:35" x14ac:dyDescent="0.3">
      <c r="A165" s="2" t="s">
        <v>35</v>
      </c>
      <c r="B165" s="2" t="s">
        <v>549</v>
      </c>
      <c r="C165" s="2" t="s">
        <v>550</v>
      </c>
      <c r="D165" s="2" t="s">
        <v>551</v>
      </c>
      <c r="E165" s="2" t="s">
        <v>552</v>
      </c>
      <c r="F165" s="2">
        <v>2022</v>
      </c>
      <c r="G165" s="2">
        <v>4</v>
      </c>
      <c r="H165" s="2">
        <v>2</v>
      </c>
      <c r="I165" s="2">
        <v>1</v>
      </c>
      <c r="J165" s="2">
        <v>2</v>
      </c>
      <c r="K165" s="2">
        <v>2</v>
      </c>
      <c r="L165" s="2">
        <f t="shared" ca="1" si="16"/>
        <v>4</v>
      </c>
      <c r="M165" s="2">
        <v>2</v>
      </c>
      <c r="N165" s="2">
        <v>0</v>
      </c>
      <c r="O165" s="2">
        <v>5</v>
      </c>
      <c r="P165" s="2">
        <f t="shared" ca="1" si="17"/>
        <v>0.5</v>
      </c>
      <c r="Q165" s="2">
        <f t="shared" ca="1" si="18"/>
        <v>82.5</v>
      </c>
      <c r="R165" s="2">
        <v>1.2909999999999999</v>
      </c>
      <c r="S165" s="2">
        <f t="shared" si="23"/>
        <v>71.290999999999997</v>
      </c>
      <c r="T165" s="2">
        <v>2</v>
      </c>
      <c r="U165" s="2">
        <v>2</v>
      </c>
      <c r="V165" s="2">
        <v>2.5</v>
      </c>
      <c r="W165" s="2">
        <f t="shared" si="19"/>
        <v>2.2360679774997898</v>
      </c>
      <c r="X165" s="2">
        <v>1</v>
      </c>
      <c r="Y165" s="2">
        <f t="shared" si="20"/>
        <v>2</v>
      </c>
      <c r="Z165" s="2">
        <v>2.5</v>
      </c>
      <c r="AA165" s="2">
        <f t="shared" si="21"/>
        <v>2.2360679774997898</v>
      </c>
      <c r="AB165" s="2">
        <f t="shared" si="22"/>
        <v>1</v>
      </c>
      <c r="AC165" s="2">
        <v>2.6457999999999999</v>
      </c>
      <c r="AD165" s="2">
        <v>2</v>
      </c>
      <c r="AE165" s="2">
        <v>0</v>
      </c>
      <c r="AF165" s="2">
        <v>0</v>
      </c>
      <c r="AG165" s="2">
        <v>0</v>
      </c>
      <c r="AH165" s="2">
        <v>2</v>
      </c>
      <c r="AI165" t="s">
        <v>45</v>
      </c>
    </row>
    <row r="166" spans="1:35" x14ac:dyDescent="0.3">
      <c r="A166" s="2" t="s">
        <v>35</v>
      </c>
      <c r="B166" s="2" t="s">
        <v>553</v>
      </c>
      <c r="C166" s="2" t="s">
        <v>554</v>
      </c>
      <c r="D166" s="2" t="s">
        <v>551</v>
      </c>
      <c r="E166" s="2" t="s">
        <v>555</v>
      </c>
      <c r="F166" s="2">
        <v>2017</v>
      </c>
      <c r="G166" s="2">
        <v>2</v>
      </c>
      <c r="H166" s="2">
        <v>0</v>
      </c>
      <c r="I166" s="2">
        <v>2</v>
      </c>
      <c r="J166" s="2">
        <v>0</v>
      </c>
      <c r="K166" s="2">
        <v>2</v>
      </c>
      <c r="L166" s="2">
        <f t="shared" ca="1" si="16"/>
        <v>9</v>
      </c>
      <c r="M166" s="2">
        <v>1</v>
      </c>
      <c r="N166" s="2">
        <v>0</v>
      </c>
      <c r="O166" s="2">
        <v>1</v>
      </c>
      <c r="P166" s="2">
        <f t="shared" ca="1" si="17"/>
        <v>0.1111111111111111</v>
      </c>
      <c r="Q166" s="2">
        <f t="shared" ca="1" si="18"/>
        <v>105.55555555555556</v>
      </c>
      <c r="R166" s="2">
        <v>0.31619999999999998</v>
      </c>
      <c r="S166" s="2">
        <f t="shared" si="23"/>
        <v>100.31619999999999</v>
      </c>
      <c r="T166" s="2">
        <v>1</v>
      </c>
      <c r="U166" s="2">
        <v>1</v>
      </c>
      <c r="V166" s="2">
        <v>1</v>
      </c>
      <c r="W166" s="2">
        <f t="shared" si="19"/>
        <v>1</v>
      </c>
      <c r="X166" s="2">
        <v>1</v>
      </c>
      <c r="Y166" s="2">
        <f t="shared" si="20"/>
        <v>1</v>
      </c>
      <c r="Z166" s="2">
        <v>1</v>
      </c>
      <c r="AA166" s="2">
        <f t="shared" si="21"/>
        <v>1</v>
      </c>
      <c r="AB166" s="2">
        <f t="shared" si="22"/>
        <v>0</v>
      </c>
      <c r="AC166" s="2">
        <v>1</v>
      </c>
      <c r="AD166" s="2">
        <v>0</v>
      </c>
      <c r="AE166" s="2">
        <v>1</v>
      </c>
      <c r="AF166" s="2">
        <v>0</v>
      </c>
      <c r="AG166" s="2">
        <v>0</v>
      </c>
      <c r="AH166" s="2">
        <v>0</v>
      </c>
      <c r="AI166" t="s">
        <v>45</v>
      </c>
    </row>
    <row r="167" spans="1:35" x14ac:dyDescent="0.3">
      <c r="A167" s="2" t="s">
        <v>35</v>
      </c>
      <c r="B167" s="2" t="s">
        <v>556</v>
      </c>
      <c r="C167" s="2" t="s">
        <v>557</v>
      </c>
      <c r="D167" s="2" t="s">
        <v>240</v>
      </c>
      <c r="E167" s="2" t="s">
        <v>558</v>
      </c>
      <c r="F167" s="2">
        <v>2008</v>
      </c>
      <c r="G167" s="2">
        <v>38</v>
      </c>
      <c r="H167" s="2">
        <v>5</v>
      </c>
      <c r="I167" s="2">
        <v>1</v>
      </c>
      <c r="J167" s="2">
        <v>1</v>
      </c>
      <c r="K167" s="2">
        <v>1</v>
      </c>
      <c r="L167" s="2">
        <f t="shared" ca="1" si="16"/>
        <v>18</v>
      </c>
      <c r="M167" s="2">
        <v>4</v>
      </c>
      <c r="N167" s="2">
        <v>3</v>
      </c>
      <c r="O167" s="2">
        <v>328</v>
      </c>
      <c r="P167" s="2">
        <f t="shared" ca="1" si="17"/>
        <v>0.22222222222222221</v>
      </c>
      <c r="Q167" s="2">
        <f t="shared" ca="1" si="18"/>
        <v>11.111111111111112</v>
      </c>
      <c r="R167" s="2">
        <v>4.6191000000000004</v>
      </c>
      <c r="S167" s="2">
        <f t="shared" si="23"/>
        <v>15.145415789473684</v>
      </c>
      <c r="T167" s="2">
        <v>4</v>
      </c>
      <c r="U167" s="2">
        <v>18</v>
      </c>
      <c r="V167" s="2">
        <v>82</v>
      </c>
      <c r="W167" s="2">
        <f t="shared" si="19"/>
        <v>18.110770276274835</v>
      </c>
      <c r="X167" s="2">
        <v>3</v>
      </c>
      <c r="Y167" s="2">
        <f t="shared" si="20"/>
        <v>8.4852813742385695</v>
      </c>
      <c r="Z167" s="2">
        <v>64.5</v>
      </c>
      <c r="AA167" s="2">
        <f t="shared" si="21"/>
        <v>16.06237840420901</v>
      </c>
      <c r="AB167" s="2">
        <f t="shared" si="22"/>
        <v>17.663521732655695</v>
      </c>
      <c r="AC167" s="2">
        <v>22.181100000000001</v>
      </c>
      <c r="AD167" s="2">
        <v>2</v>
      </c>
      <c r="AE167" s="2">
        <v>0</v>
      </c>
      <c r="AF167" s="2">
        <v>0</v>
      </c>
      <c r="AG167" s="2">
        <v>4</v>
      </c>
      <c r="AH167" s="2">
        <v>0</v>
      </c>
      <c r="AI167" t="s">
        <v>45</v>
      </c>
    </row>
    <row r="168" spans="1:35" x14ac:dyDescent="0.3">
      <c r="A168" s="2" t="s">
        <v>35</v>
      </c>
      <c r="B168" s="2" t="s">
        <v>559</v>
      </c>
      <c r="C168" s="2" t="s">
        <v>560</v>
      </c>
      <c r="D168" s="2" t="s">
        <v>62</v>
      </c>
      <c r="E168" s="2" t="s">
        <v>561</v>
      </c>
      <c r="F168" s="2">
        <v>2011</v>
      </c>
      <c r="G168" s="2">
        <v>35</v>
      </c>
      <c r="H168" s="2">
        <v>4</v>
      </c>
      <c r="I168" s="2">
        <v>10</v>
      </c>
      <c r="J168" s="2">
        <v>8</v>
      </c>
      <c r="K168" s="2">
        <v>10</v>
      </c>
      <c r="L168" s="2">
        <f t="shared" ca="1" si="16"/>
        <v>15</v>
      </c>
      <c r="M168" s="2">
        <v>5</v>
      </c>
      <c r="N168" s="2">
        <v>4</v>
      </c>
      <c r="O168" s="2">
        <v>85</v>
      </c>
      <c r="P168" s="2">
        <f t="shared" ca="1" si="17"/>
        <v>0.33333333333333331</v>
      </c>
      <c r="Q168" s="2">
        <f t="shared" ca="1" si="18"/>
        <v>28.380952380952383</v>
      </c>
      <c r="R168" s="2">
        <v>3.0849000000000002</v>
      </c>
      <c r="S168" s="2">
        <f t="shared" si="23"/>
        <v>30.513471428571428</v>
      </c>
      <c r="T168" s="2">
        <v>5</v>
      </c>
      <c r="U168" s="2">
        <v>8</v>
      </c>
      <c r="V168" s="2">
        <v>13.2</v>
      </c>
      <c r="W168" s="2">
        <f t="shared" si="19"/>
        <v>8.1240384046359608</v>
      </c>
      <c r="X168" s="2">
        <v>3</v>
      </c>
      <c r="Y168" s="2">
        <f t="shared" si="20"/>
        <v>6.324555320336759</v>
      </c>
      <c r="Z168" s="2">
        <v>12</v>
      </c>
      <c r="AA168" s="2">
        <f t="shared" si="21"/>
        <v>7.745966692414834</v>
      </c>
      <c r="AB168" s="2">
        <f t="shared" si="22"/>
        <v>6.4031242374328485</v>
      </c>
      <c r="AC168" s="2">
        <v>12.609500000000001</v>
      </c>
      <c r="AD168" s="2">
        <v>4</v>
      </c>
      <c r="AE168" s="2">
        <v>2</v>
      </c>
      <c r="AF168" s="2">
        <v>4</v>
      </c>
      <c r="AG168" s="2">
        <v>1</v>
      </c>
      <c r="AH168" s="2">
        <v>1</v>
      </c>
      <c r="AI168" t="s">
        <v>64</v>
      </c>
    </row>
    <row r="169" spans="1:35" x14ac:dyDescent="0.3">
      <c r="A169" s="2" t="s">
        <v>35</v>
      </c>
      <c r="B169" s="2" t="s">
        <v>562</v>
      </c>
      <c r="C169" s="2" t="s">
        <v>563</v>
      </c>
      <c r="D169" s="2" t="s">
        <v>388</v>
      </c>
      <c r="E169" s="2" t="s">
        <v>564</v>
      </c>
      <c r="F169" s="2">
        <v>2019</v>
      </c>
      <c r="G169" s="2">
        <v>6</v>
      </c>
      <c r="H169" s="2">
        <v>1</v>
      </c>
      <c r="I169" s="2">
        <v>3</v>
      </c>
      <c r="J169" s="2">
        <v>2</v>
      </c>
      <c r="K169" s="2">
        <v>3</v>
      </c>
      <c r="L169" s="2">
        <f t="shared" ca="1" si="16"/>
        <v>7</v>
      </c>
      <c r="M169" s="2">
        <v>4</v>
      </c>
      <c r="N169" s="2">
        <v>3</v>
      </c>
      <c r="O169" s="2">
        <v>647</v>
      </c>
      <c r="P169" s="2">
        <f t="shared" ca="1" si="17"/>
        <v>0.5714285714285714</v>
      </c>
      <c r="Q169" s="2">
        <f t="shared" ca="1" si="18"/>
        <v>99.523809523809533</v>
      </c>
      <c r="R169" s="2">
        <v>9.2243999999999993</v>
      </c>
      <c r="S169" s="2">
        <f t="shared" si="23"/>
        <v>99.224400000000017</v>
      </c>
      <c r="T169" s="2">
        <v>4</v>
      </c>
      <c r="U169" s="2">
        <v>6</v>
      </c>
      <c r="V169" s="2">
        <v>161.75</v>
      </c>
      <c r="W169" s="2">
        <f t="shared" si="19"/>
        <v>25.436194683953808</v>
      </c>
      <c r="X169" s="2">
        <v>3</v>
      </c>
      <c r="Y169" s="2">
        <f t="shared" si="20"/>
        <v>4.8989794855663558</v>
      </c>
      <c r="Z169" s="2">
        <v>13.5</v>
      </c>
      <c r="AA169" s="2">
        <f t="shared" si="21"/>
        <v>7.3484692283495345</v>
      </c>
      <c r="AB169" s="2">
        <f t="shared" si="22"/>
        <v>25.119713374160941</v>
      </c>
      <c r="AC169" s="2">
        <v>26.589500000000001</v>
      </c>
      <c r="AD169" s="2">
        <v>2</v>
      </c>
      <c r="AE169" s="2">
        <v>0</v>
      </c>
      <c r="AF169" s="2">
        <v>0</v>
      </c>
      <c r="AG169" s="2">
        <v>2</v>
      </c>
      <c r="AH169" s="2">
        <v>2</v>
      </c>
      <c r="AI169" t="s">
        <v>45</v>
      </c>
    </row>
    <row r="170" spans="1:35" x14ac:dyDescent="0.3">
      <c r="A170" s="2" t="s">
        <v>35</v>
      </c>
      <c r="B170" s="2" t="s">
        <v>565</v>
      </c>
      <c r="C170" s="2" t="s">
        <v>566</v>
      </c>
      <c r="D170" s="2" t="s">
        <v>38</v>
      </c>
      <c r="E170" s="2" t="s">
        <v>567</v>
      </c>
      <c r="F170" s="2">
        <v>2001</v>
      </c>
      <c r="G170" s="2">
        <v>108</v>
      </c>
      <c r="H170" s="2">
        <v>56</v>
      </c>
      <c r="I170" s="2">
        <v>9</v>
      </c>
      <c r="J170" s="2">
        <v>40</v>
      </c>
      <c r="K170" s="2">
        <v>47</v>
      </c>
      <c r="L170" s="2">
        <f t="shared" ca="1" si="16"/>
        <v>25</v>
      </c>
      <c r="M170" s="2">
        <v>30</v>
      </c>
      <c r="N170" s="2">
        <v>62</v>
      </c>
      <c r="O170" s="2">
        <v>4826</v>
      </c>
      <c r="P170" s="2">
        <f t="shared" ca="1" si="17"/>
        <v>1.2</v>
      </c>
      <c r="Q170" s="2">
        <f t="shared" ca="1" si="18"/>
        <v>45.462962962962962</v>
      </c>
      <c r="R170" s="2">
        <v>17.811</v>
      </c>
      <c r="S170" s="2">
        <f t="shared" si="23"/>
        <v>62.162851851851848</v>
      </c>
      <c r="T170" s="2">
        <v>30</v>
      </c>
      <c r="U170" s="2">
        <v>69</v>
      </c>
      <c r="V170" s="2">
        <v>136.9</v>
      </c>
      <c r="W170" s="2">
        <f t="shared" si="19"/>
        <v>64.085879880048466</v>
      </c>
      <c r="X170" s="2">
        <v>9</v>
      </c>
      <c r="Y170" s="2">
        <f t="shared" si="20"/>
        <v>45.4972526643093</v>
      </c>
      <c r="Z170" s="2">
        <v>55.5</v>
      </c>
      <c r="AA170" s="2">
        <f t="shared" si="21"/>
        <v>40.80441152620633</v>
      </c>
      <c r="AB170" s="2">
        <f t="shared" si="22"/>
        <v>56.630380539071076</v>
      </c>
      <c r="AC170" s="2">
        <v>158.63800000000001</v>
      </c>
      <c r="AD170" s="2">
        <v>22</v>
      </c>
      <c r="AE170" s="2">
        <v>6</v>
      </c>
      <c r="AF170" s="2">
        <v>7</v>
      </c>
      <c r="AG170" s="2">
        <v>18</v>
      </c>
      <c r="AH170" s="2">
        <v>18</v>
      </c>
      <c r="AI170" t="s">
        <v>40</v>
      </c>
    </row>
    <row r="171" spans="1:35" x14ac:dyDescent="0.3">
      <c r="A171" s="2" t="s">
        <v>35</v>
      </c>
      <c r="B171" s="2" t="s">
        <v>568</v>
      </c>
      <c r="C171" s="2" t="s">
        <v>569</v>
      </c>
      <c r="D171" s="2" t="s">
        <v>91</v>
      </c>
      <c r="E171" s="2" t="s">
        <v>570</v>
      </c>
      <c r="F171" s="2">
        <v>2019</v>
      </c>
      <c r="G171" s="2">
        <v>24</v>
      </c>
      <c r="H171" s="2">
        <v>4</v>
      </c>
      <c r="I171" s="2">
        <v>16</v>
      </c>
      <c r="J171" s="2">
        <v>11</v>
      </c>
      <c r="K171" s="2">
        <v>16</v>
      </c>
      <c r="L171" s="2">
        <f t="shared" ca="1" si="16"/>
        <v>7</v>
      </c>
      <c r="M171" s="2">
        <v>9</v>
      </c>
      <c r="N171" s="2">
        <v>9</v>
      </c>
      <c r="O171" s="2">
        <v>155</v>
      </c>
      <c r="P171" s="2">
        <f t="shared" ca="1" si="17"/>
        <v>1.2857142857142858</v>
      </c>
      <c r="Q171" s="2">
        <f t="shared" ca="1" si="18"/>
        <v>74.523809523809533</v>
      </c>
      <c r="R171" s="2">
        <v>4.6353</v>
      </c>
      <c r="S171" s="2">
        <f t="shared" si="23"/>
        <v>73.801966666666672</v>
      </c>
      <c r="T171" s="2">
        <v>9</v>
      </c>
      <c r="U171" s="2">
        <v>12</v>
      </c>
      <c r="V171" s="2">
        <v>14.222200000000001</v>
      </c>
      <c r="W171" s="2">
        <f t="shared" si="19"/>
        <v>11.313699660146543</v>
      </c>
      <c r="X171" s="2">
        <v>3</v>
      </c>
      <c r="Y171" s="2">
        <f t="shared" si="20"/>
        <v>10.392304845413264</v>
      </c>
      <c r="Z171" s="2">
        <v>14</v>
      </c>
      <c r="AA171" s="2">
        <f t="shared" si="21"/>
        <v>11.224972160321824</v>
      </c>
      <c r="AB171" s="2">
        <f t="shared" si="22"/>
        <v>6.8556400138863776</v>
      </c>
      <c r="AC171" s="2">
        <v>24.145399999999999</v>
      </c>
      <c r="AD171" s="2">
        <v>9</v>
      </c>
      <c r="AE171" s="2">
        <v>3</v>
      </c>
      <c r="AF171" s="2">
        <v>1</v>
      </c>
      <c r="AG171" s="2">
        <v>1</v>
      </c>
      <c r="AH171" s="2">
        <v>8</v>
      </c>
      <c r="AI171" t="s">
        <v>93</v>
      </c>
    </row>
    <row r="172" spans="1:35" x14ac:dyDescent="0.3">
      <c r="A172" s="2" t="s">
        <v>35</v>
      </c>
      <c r="B172" s="2" t="s">
        <v>571</v>
      </c>
      <c r="C172" s="2" t="s">
        <v>572</v>
      </c>
      <c r="D172" s="2" t="s">
        <v>43</v>
      </c>
      <c r="E172" s="2" t="s">
        <v>573</v>
      </c>
      <c r="F172" s="2">
        <v>2013</v>
      </c>
      <c r="G172" s="2">
        <v>14</v>
      </c>
      <c r="H172" s="2">
        <v>1</v>
      </c>
      <c r="I172" s="2">
        <v>5</v>
      </c>
      <c r="J172" s="2">
        <v>4</v>
      </c>
      <c r="K172" s="2">
        <v>5</v>
      </c>
      <c r="L172" s="2">
        <f t="shared" ca="1" si="16"/>
        <v>13</v>
      </c>
      <c r="M172" s="2">
        <v>2</v>
      </c>
      <c r="N172" s="2">
        <v>0</v>
      </c>
      <c r="O172" s="2">
        <v>6</v>
      </c>
      <c r="P172" s="2">
        <f t="shared" ca="1" si="17"/>
        <v>0.15384615384615385</v>
      </c>
      <c r="Q172" s="2">
        <f t="shared" ca="1" si="18"/>
        <v>32.527472527472533</v>
      </c>
      <c r="R172" s="2">
        <v>1.1618999999999999</v>
      </c>
      <c r="S172" s="2">
        <f t="shared" si="23"/>
        <v>32.590471428571433</v>
      </c>
      <c r="T172" s="2">
        <v>2</v>
      </c>
      <c r="U172" s="2">
        <v>2</v>
      </c>
      <c r="V172" s="2">
        <v>3</v>
      </c>
      <c r="W172" s="2">
        <f t="shared" si="19"/>
        <v>2.4494897427831779</v>
      </c>
      <c r="X172" s="2">
        <v>1</v>
      </c>
      <c r="Y172" s="2">
        <f t="shared" si="20"/>
        <v>2</v>
      </c>
      <c r="Z172" s="2">
        <v>3</v>
      </c>
      <c r="AA172" s="2">
        <f t="shared" si="21"/>
        <v>2.4494897427831779</v>
      </c>
      <c r="AB172" s="2">
        <f t="shared" si="22"/>
        <v>1.4142135623730951</v>
      </c>
      <c r="AC172" s="2">
        <v>3</v>
      </c>
      <c r="AD172" s="2">
        <v>1</v>
      </c>
      <c r="AE172" s="2">
        <v>1</v>
      </c>
      <c r="AF172" s="2">
        <v>1</v>
      </c>
      <c r="AG172" s="2">
        <v>0</v>
      </c>
      <c r="AH172" s="2">
        <v>0</v>
      </c>
      <c r="AI172" t="s">
        <v>45</v>
      </c>
    </row>
    <row r="173" spans="1:35" x14ac:dyDescent="0.3">
      <c r="A173" s="2" t="s">
        <v>35</v>
      </c>
      <c r="B173" s="2" t="s">
        <v>574</v>
      </c>
      <c r="C173" s="2" t="s">
        <v>575</v>
      </c>
      <c r="D173" s="2" t="s">
        <v>43</v>
      </c>
      <c r="E173" s="2" t="s">
        <v>576</v>
      </c>
      <c r="F173" s="2">
        <v>1992</v>
      </c>
      <c r="G173" s="2">
        <v>24</v>
      </c>
      <c r="H173" s="2">
        <v>0</v>
      </c>
      <c r="I173" s="2">
        <v>24</v>
      </c>
      <c r="J173" s="2">
        <v>24</v>
      </c>
      <c r="K173" s="2">
        <v>24</v>
      </c>
      <c r="L173" s="2">
        <f t="shared" ca="1" si="16"/>
        <v>34</v>
      </c>
      <c r="M173" s="2">
        <v>3</v>
      </c>
      <c r="N173" s="2">
        <v>1</v>
      </c>
      <c r="O173" s="2">
        <v>44</v>
      </c>
      <c r="P173" s="2">
        <f t="shared" ca="1" si="17"/>
        <v>8.8235294117647065E-2</v>
      </c>
      <c r="Q173" s="2">
        <f t="shared" ca="1" si="18"/>
        <v>62.867647058823536</v>
      </c>
      <c r="R173" s="2">
        <v>1.0383</v>
      </c>
      <c r="S173" s="2">
        <f t="shared" si="23"/>
        <v>63.538300000000007</v>
      </c>
      <c r="T173" s="2">
        <v>3</v>
      </c>
      <c r="U173" s="2">
        <v>5</v>
      </c>
      <c r="V173" s="2">
        <v>8.6667000000000005</v>
      </c>
      <c r="W173" s="2">
        <f t="shared" si="19"/>
        <v>5.0990293193901133</v>
      </c>
      <c r="X173" s="2">
        <v>2</v>
      </c>
      <c r="Y173" s="2">
        <f t="shared" si="20"/>
        <v>3.872983346207417</v>
      </c>
      <c r="Z173" s="2">
        <v>6</v>
      </c>
      <c r="AA173" s="2">
        <f t="shared" si="21"/>
        <v>4.2426406871192848</v>
      </c>
      <c r="AB173" s="2">
        <f t="shared" si="22"/>
        <v>4.1231177523810789</v>
      </c>
      <c r="AC173" s="2">
        <v>6.4806999999999997</v>
      </c>
      <c r="AD173" s="2">
        <v>3</v>
      </c>
      <c r="AE173" s="2">
        <v>0</v>
      </c>
      <c r="AF173" s="2">
        <v>0</v>
      </c>
      <c r="AG173" s="2">
        <v>0</v>
      </c>
      <c r="AH173" s="2">
        <v>3</v>
      </c>
      <c r="AI173" t="s">
        <v>45</v>
      </c>
    </row>
    <row r="174" spans="1:35" x14ac:dyDescent="0.3">
      <c r="A174" s="2" t="s">
        <v>35</v>
      </c>
      <c r="B174" s="2" t="s">
        <v>577</v>
      </c>
      <c r="C174" s="2" t="s">
        <v>578</v>
      </c>
      <c r="D174" s="2" t="s">
        <v>43</v>
      </c>
      <c r="E174" s="2" t="s">
        <v>579</v>
      </c>
      <c r="F174" s="2">
        <v>1993</v>
      </c>
      <c r="G174" s="2">
        <v>291</v>
      </c>
      <c r="H174" s="2">
        <v>4</v>
      </c>
      <c r="I174" s="2">
        <v>253</v>
      </c>
      <c r="J174" s="2">
        <v>207</v>
      </c>
      <c r="K174" s="2">
        <v>267</v>
      </c>
      <c r="L174" s="2">
        <f t="shared" ca="1" si="16"/>
        <v>33</v>
      </c>
      <c r="M174" s="2">
        <v>9</v>
      </c>
      <c r="N174" s="2">
        <v>7</v>
      </c>
      <c r="O174" s="2">
        <v>463</v>
      </c>
      <c r="P174" s="2">
        <f t="shared" ca="1" si="17"/>
        <v>0.27272727272727271</v>
      </c>
      <c r="Q174" s="2">
        <f t="shared" ca="1" si="18"/>
        <v>48.925335832552328</v>
      </c>
      <c r="R174" s="2">
        <v>3.4567000000000001</v>
      </c>
      <c r="S174" s="2">
        <f t="shared" si="23"/>
        <v>52.288315120274909</v>
      </c>
      <c r="T174" s="2">
        <v>9</v>
      </c>
      <c r="U174" s="2">
        <v>16</v>
      </c>
      <c r="V174" s="2">
        <v>24.1111</v>
      </c>
      <c r="W174" s="2">
        <f t="shared" si="19"/>
        <v>14.730916468434678</v>
      </c>
      <c r="X174" s="2">
        <v>4</v>
      </c>
      <c r="Y174" s="2">
        <f t="shared" si="20"/>
        <v>12</v>
      </c>
      <c r="Z174" s="2">
        <v>17</v>
      </c>
      <c r="AA174" s="2">
        <f t="shared" si="21"/>
        <v>12.369316876852981</v>
      </c>
      <c r="AB174" s="2">
        <f t="shared" si="22"/>
        <v>11.661899502225184</v>
      </c>
      <c r="AC174" s="2">
        <v>26.210699999999999</v>
      </c>
      <c r="AD174" s="2">
        <v>9</v>
      </c>
      <c r="AE174" s="2">
        <v>3</v>
      </c>
      <c r="AF174" s="2">
        <v>0</v>
      </c>
      <c r="AG174" s="2">
        <v>3</v>
      </c>
      <c r="AH174" s="2">
        <v>8</v>
      </c>
      <c r="AI174" t="s">
        <v>45</v>
      </c>
    </row>
    <row r="175" spans="1:35" x14ac:dyDescent="0.3">
      <c r="A175" s="2" t="s">
        <v>35</v>
      </c>
      <c r="B175" s="2" t="s">
        <v>580</v>
      </c>
      <c r="C175" s="2" t="s">
        <v>581</v>
      </c>
      <c r="D175" s="2" t="s">
        <v>318</v>
      </c>
      <c r="E175" s="2" t="s">
        <v>582</v>
      </c>
      <c r="F175" s="2">
        <v>2007</v>
      </c>
      <c r="G175" s="2">
        <v>95</v>
      </c>
      <c r="H175" s="2">
        <v>60</v>
      </c>
      <c r="I175" s="2">
        <v>10</v>
      </c>
      <c r="J175" s="2">
        <v>17</v>
      </c>
      <c r="K175" s="2">
        <v>24</v>
      </c>
      <c r="L175" s="2">
        <f t="shared" ca="1" si="16"/>
        <v>19</v>
      </c>
      <c r="M175" s="2">
        <v>35</v>
      </c>
      <c r="N175" s="2">
        <v>55</v>
      </c>
      <c r="O175" s="2">
        <v>4008</v>
      </c>
      <c r="P175" s="2">
        <f t="shared" ca="1" si="17"/>
        <v>1.8421052631578947</v>
      </c>
      <c r="Q175" s="2">
        <f t="shared" ca="1" si="18"/>
        <v>45.096952908587255</v>
      </c>
      <c r="R175" s="2">
        <v>22.4895</v>
      </c>
      <c r="S175" s="2">
        <f t="shared" si="23"/>
        <v>65.647394736842102</v>
      </c>
      <c r="T175" s="2">
        <v>35</v>
      </c>
      <c r="U175" s="2">
        <v>63</v>
      </c>
      <c r="V175" s="2">
        <v>101.5714</v>
      </c>
      <c r="W175" s="2">
        <f t="shared" si="19"/>
        <v>59.623812357144686</v>
      </c>
      <c r="X175" s="2">
        <v>10</v>
      </c>
      <c r="Y175" s="2">
        <f t="shared" si="20"/>
        <v>46.957427527495582</v>
      </c>
      <c r="Z175" s="2">
        <v>77</v>
      </c>
      <c r="AA175" s="2">
        <f t="shared" si="21"/>
        <v>51.913389409669641</v>
      </c>
      <c r="AB175" s="2">
        <f t="shared" si="22"/>
        <v>48.270063186202684</v>
      </c>
      <c r="AC175" s="2">
        <v>206.45339999999999</v>
      </c>
      <c r="AD175" s="2">
        <v>17</v>
      </c>
      <c r="AE175" s="2">
        <v>1</v>
      </c>
      <c r="AF175" s="2">
        <v>5</v>
      </c>
      <c r="AG175" s="2">
        <v>30</v>
      </c>
      <c r="AH175" s="2">
        <v>10</v>
      </c>
      <c r="AI175" t="s">
        <v>45</v>
      </c>
    </row>
    <row r="176" spans="1:35" x14ac:dyDescent="0.3">
      <c r="A176" s="2" t="s">
        <v>35</v>
      </c>
      <c r="B176" s="2" t="s">
        <v>583</v>
      </c>
      <c r="C176" s="2" t="s">
        <v>584</v>
      </c>
      <c r="D176" s="2" t="s">
        <v>43</v>
      </c>
      <c r="E176" s="2" t="s">
        <v>585</v>
      </c>
      <c r="F176" s="2">
        <v>1988</v>
      </c>
      <c r="G176" s="2">
        <v>19</v>
      </c>
      <c r="H176" s="2">
        <v>0</v>
      </c>
      <c r="I176" s="2">
        <v>19</v>
      </c>
      <c r="J176" s="2">
        <v>16</v>
      </c>
      <c r="K176" s="2">
        <v>19</v>
      </c>
      <c r="L176" s="2">
        <f t="shared" ca="1" si="16"/>
        <v>38</v>
      </c>
      <c r="M176" s="2">
        <v>3</v>
      </c>
      <c r="N176" s="2">
        <v>2</v>
      </c>
      <c r="O176" s="2">
        <v>47</v>
      </c>
      <c r="P176" s="2">
        <f t="shared" ca="1" si="17"/>
        <v>7.8947368421052627E-2</v>
      </c>
      <c r="Q176" s="2">
        <f t="shared" ca="1" si="18"/>
        <v>66.204986149584499</v>
      </c>
      <c r="R176" s="2">
        <v>1.5867</v>
      </c>
      <c r="S176" s="2">
        <f t="shared" si="23"/>
        <v>67.376173684210528</v>
      </c>
      <c r="T176" s="2">
        <v>3</v>
      </c>
      <c r="U176" s="2">
        <v>6</v>
      </c>
      <c r="V176" s="2">
        <v>13.333299999999999</v>
      </c>
      <c r="W176" s="2">
        <f t="shared" si="19"/>
        <v>6.3245474146376672</v>
      </c>
      <c r="X176" s="2">
        <v>2</v>
      </c>
      <c r="Y176" s="2">
        <f t="shared" si="20"/>
        <v>4.2426406871192848</v>
      </c>
      <c r="Z176" s="2">
        <v>12</v>
      </c>
      <c r="AA176" s="2">
        <f t="shared" si="21"/>
        <v>6</v>
      </c>
      <c r="AB176" s="2">
        <f t="shared" si="22"/>
        <v>5.567755382557678</v>
      </c>
      <c r="AC176" s="2">
        <v>7.7460000000000004</v>
      </c>
      <c r="AD176" s="2">
        <v>3</v>
      </c>
      <c r="AE176" s="2">
        <v>0</v>
      </c>
      <c r="AF176" s="2">
        <v>0</v>
      </c>
      <c r="AG176" s="2">
        <v>0</v>
      </c>
      <c r="AH176" s="2">
        <v>3</v>
      </c>
      <c r="AI176" t="s">
        <v>45</v>
      </c>
    </row>
    <row r="177" spans="1:35" x14ac:dyDescent="0.3">
      <c r="A177" s="2" t="s">
        <v>35</v>
      </c>
      <c r="B177" s="2" t="s">
        <v>586</v>
      </c>
      <c r="C177" s="2" t="s">
        <v>587</v>
      </c>
      <c r="D177" s="2" t="s">
        <v>67</v>
      </c>
      <c r="E177" s="2" t="s">
        <v>588</v>
      </c>
      <c r="F177" s="2">
        <v>1997</v>
      </c>
      <c r="G177" s="2">
        <v>123</v>
      </c>
      <c r="H177" s="2">
        <v>43</v>
      </c>
      <c r="I177" s="2">
        <v>9</v>
      </c>
      <c r="J177" s="2">
        <v>57</v>
      </c>
      <c r="K177" s="2">
        <v>64</v>
      </c>
      <c r="L177" s="2">
        <f t="shared" ca="1" si="16"/>
        <v>29</v>
      </c>
      <c r="M177" s="2">
        <v>27</v>
      </c>
      <c r="N177" s="2">
        <v>52</v>
      </c>
      <c r="O177" s="2">
        <v>2598</v>
      </c>
      <c r="P177" s="2">
        <f t="shared" ca="1" si="17"/>
        <v>0.93103448275862066</v>
      </c>
      <c r="Q177" s="2">
        <f t="shared" ca="1" si="18"/>
        <v>45.228483319315949</v>
      </c>
      <c r="R177" s="2">
        <v>15.792299999999999</v>
      </c>
      <c r="S177" s="2">
        <f t="shared" si="23"/>
        <v>60.263844715447156</v>
      </c>
      <c r="T177" s="2">
        <v>27</v>
      </c>
      <c r="U177" s="2">
        <v>49</v>
      </c>
      <c r="V177" s="2">
        <v>75.074100000000001</v>
      </c>
      <c r="W177" s="2">
        <f t="shared" si="19"/>
        <v>45.022224511900788</v>
      </c>
      <c r="X177" s="2">
        <v>9</v>
      </c>
      <c r="Y177" s="2">
        <f t="shared" si="20"/>
        <v>36.373066958946424</v>
      </c>
      <c r="Z177" s="2">
        <v>58</v>
      </c>
      <c r="AA177" s="2">
        <f t="shared" si="21"/>
        <v>39.572717874818757</v>
      </c>
      <c r="AB177" s="2">
        <f t="shared" si="22"/>
        <v>36.027776784031509</v>
      </c>
      <c r="AC177" s="2">
        <v>136.24979999999999</v>
      </c>
      <c r="AD177" s="2">
        <v>23</v>
      </c>
      <c r="AE177" s="2">
        <v>3</v>
      </c>
      <c r="AF177" s="2">
        <v>0</v>
      </c>
      <c r="AG177" s="2">
        <v>15</v>
      </c>
      <c r="AH177" s="2">
        <v>20</v>
      </c>
      <c r="AI177" t="s">
        <v>40</v>
      </c>
    </row>
    <row r="178" spans="1:35" x14ac:dyDescent="0.3">
      <c r="A178" s="2" t="s">
        <v>35</v>
      </c>
      <c r="B178" s="2" t="s">
        <v>589</v>
      </c>
      <c r="C178" s="2" t="s">
        <v>590</v>
      </c>
      <c r="D178" s="2" t="s">
        <v>43</v>
      </c>
      <c r="E178" s="2" t="s">
        <v>591</v>
      </c>
      <c r="F178" s="2">
        <v>2007</v>
      </c>
      <c r="G178" s="2">
        <v>16</v>
      </c>
      <c r="H178" s="2">
        <v>0</v>
      </c>
      <c r="I178" s="2">
        <v>16</v>
      </c>
      <c r="J178" s="2">
        <v>15</v>
      </c>
      <c r="K178" s="2">
        <v>16</v>
      </c>
      <c r="L178" s="2">
        <f t="shared" ca="1" si="16"/>
        <v>19</v>
      </c>
      <c r="M178" s="2">
        <v>3</v>
      </c>
      <c r="N178" s="2">
        <v>1</v>
      </c>
      <c r="O178" s="2">
        <v>48</v>
      </c>
      <c r="P178" s="2">
        <f t="shared" ca="1" si="17"/>
        <v>0.15789473684210525</v>
      </c>
      <c r="Q178" s="2">
        <f t="shared" ca="1" si="18"/>
        <v>69.73684210526315</v>
      </c>
      <c r="R178" s="2">
        <v>1.5456000000000001</v>
      </c>
      <c r="S178" s="2">
        <f t="shared" si="23"/>
        <v>70.295599999999993</v>
      </c>
      <c r="T178" s="2">
        <v>3</v>
      </c>
      <c r="U178" s="2">
        <v>6</v>
      </c>
      <c r="V178" s="2">
        <v>10.666700000000001</v>
      </c>
      <c r="W178" s="2">
        <f t="shared" si="19"/>
        <v>5.6568630883202404</v>
      </c>
      <c r="X178" s="2">
        <v>2</v>
      </c>
      <c r="Y178" s="2">
        <f t="shared" si="20"/>
        <v>4.2426406871192848</v>
      </c>
      <c r="Z178" s="2">
        <v>8</v>
      </c>
      <c r="AA178" s="2">
        <f t="shared" si="21"/>
        <v>4.8989794855663558</v>
      </c>
      <c r="AB178" s="2">
        <f t="shared" si="22"/>
        <v>4.7958419490220905</v>
      </c>
      <c r="AC178" s="2">
        <v>6.9282000000000004</v>
      </c>
      <c r="AD178" s="2">
        <v>3</v>
      </c>
      <c r="AE178" s="2">
        <v>1</v>
      </c>
      <c r="AF178" s="2">
        <v>0</v>
      </c>
      <c r="AG178" s="2">
        <v>0</v>
      </c>
      <c r="AH178" s="2">
        <v>3</v>
      </c>
      <c r="AI178" t="s">
        <v>45</v>
      </c>
    </row>
    <row r="179" spans="1:35" x14ac:dyDescent="0.3">
      <c r="A179" s="2" t="s">
        <v>35</v>
      </c>
      <c r="B179" s="2" t="s">
        <v>592</v>
      </c>
      <c r="C179" s="2" t="s">
        <v>593</v>
      </c>
      <c r="D179" s="2" t="s">
        <v>150</v>
      </c>
      <c r="E179" s="2" t="s">
        <v>594</v>
      </c>
      <c r="F179" s="2">
        <v>1980</v>
      </c>
      <c r="G179" s="2">
        <v>230</v>
      </c>
      <c r="H179" s="2">
        <v>69</v>
      </c>
      <c r="I179" s="2">
        <v>82</v>
      </c>
      <c r="J179" s="2">
        <v>54</v>
      </c>
      <c r="K179" s="2">
        <v>114</v>
      </c>
      <c r="L179" s="2">
        <f t="shared" ca="1" si="16"/>
        <v>46</v>
      </c>
      <c r="M179" s="2">
        <v>54</v>
      </c>
      <c r="N179" s="2">
        <v>122</v>
      </c>
      <c r="O179" s="2">
        <v>14534</v>
      </c>
      <c r="P179" s="2">
        <f t="shared" ca="1" si="17"/>
        <v>1.173913043478261</v>
      </c>
      <c r="Q179" s="2">
        <f t="shared" ca="1" si="18"/>
        <v>45.771266540642721</v>
      </c>
      <c r="R179" s="2">
        <v>36.750599999999999</v>
      </c>
      <c r="S179" s="2">
        <f t="shared" si="23"/>
        <v>82.011469565217396</v>
      </c>
      <c r="T179" s="2">
        <v>54</v>
      </c>
      <c r="U179" s="2">
        <v>119</v>
      </c>
      <c r="V179" s="2">
        <v>232.0926</v>
      </c>
      <c r="W179" s="2">
        <f t="shared" si="19"/>
        <v>111.95088387324148</v>
      </c>
      <c r="X179" s="2">
        <v>12</v>
      </c>
      <c r="Y179" s="2">
        <f t="shared" si="20"/>
        <v>80.162335295324326</v>
      </c>
      <c r="Z179" s="2">
        <v>97</v>
      </c>
      <c r="AA179" s="2">
        <f t="shared" si="21"/>
        <v>72.374028490888918</v>
      </c>
      <c r="AB179" s="2">
        <f t="shared" si="22"/>
        <v>98.066306140284496</v>
      </c>
      <c r="AC179" s="2">
        <v>375.70729999999998</v>
      </c>
      <c r="AD179" s="2">
        <v>36</v>
      </c>
      <c r="AE179" s="2">
        <v>24</v>
      </c>
      <c r="AF179" s="2">
        <v>15</v>
      </c>
      <c r="AG179" s="2">
        <v>30</v>
      </c>
      <c r="AH179" s="2">
        <v>20</v>
      </c>
      <c r="AI179" t="s">
        <v>64</v>
      </c>
    </row>
    <row r="180" spans="1:35" x14ac:dyDescent="0.3">
      <c r="A180" s="2" t="s">
        <v>35</v>
      </c>
      <c r="B180" s="2" t="s">
        <v>595</v>
      </c>
      <c r="C180" s="2" t="s">
        <v>596</v>
      </c>
      <c r="D180" s="2" t="s">
        <v>187</v>
      </c>
      <c r="E180" s="2" t="s">
        <v>597</v>
      </c>
      <c r="F180" s="2">
        <v>2004</v>
      </c>
      <c r="G180" s="2">
        <v>30</v>
      </c>
      <c r="H180" s="2">
        <v>9</v>
      </c>
      <c r="I180" s="2">
        <v>5</v>
      </c>
      <c r="J180" s="2">
        <v>1</v>
      </c>
      <c r="K180" s="2">
        <v>6</v>
      </c>
      <c r="L180" s="2">
        <f t="shared" ca="1" si="16"/>
        <v>22</v>
      </c>
      <c r="M180" s="2">
        <v>10</v>
      </c>
      <c r="N180" s="2">
        <v>10</v>
      </c>
      <c r="O180" s="2">
        <v>650</v>
      </c>
      <c r="P180" s="2">
        <f t="shared" ca="1" si="17"/>
        <v>0.45454545454545453</v>
      </c>
      <c r="Q180" s="2">
        <f t="shared" ca="1" si="18"/>
        <v>41.848484848484851</v>
      </c>
      <c r="R180" s="2">
        <v>7.0789999999999997</v>
      </c>
      <c r="S180" s="2">
        <f t="shared" si="23"/>
        <v>47.412333333333336</v>
      </c>
      <c r="T180" s="2">
        <v>10</v>
      </c>
      <c r="U180" s="2">
        <v>25</v>
      </c>
      <c r="V180" s="2">
        <v>61.4</v>
      </c>
      <c r="W180" s="2">
        <f t="shared" si="19"/>
        <v>24.779023386727733</v>
      </c>
      <c r="X180" s="2">
        <v>5</v>
      </c>
      <c r="Y180" s="2">
        <f t="shared" si="20"/>
        <v>15.811388300841896</v>
      </c>
      <c r="Z180" s="2">
        <v>30</v>
      </c>
      <c r="AA180" s="2">
        <f t="shared" si="21"/>
        <v>17.320508075688775</v>
      </c>
      <c r="AB180" s="2">
        <f t="shared" si="22"/>
        <v>22.671568097509269</v>
      </c>
      <c r="AC180" s="2">
        <v>40.718499999999999</v>
      </c>
      <c r="AD180" s="2">
        <v>6</v>
      </c>
      <c r="AE180" s="2">
        <v>2</v>
      </c>
      <c r="AF180" s="2">
        <v>3</v>
      </c>
      <c r="AG180" s="2">
        <v>8</v>
      </c>
      <c r="AH180" s="2">
        <v>1</v>
      </c>
      <c r="AI180" t="s">
        <v>45</v>
      </c>
    </row>
    <row r="181" spans="1:35" x14ac:dyDescent="0.3">
      <c r="A181" s="2" t="s">
        <v>35</v>
      </c>
      <c r="B181" s="2" t="s">
        <v>598</v>
      </c>
      <c r="C181" s="2" t="s">
        <v>599</v>
      </c>
      <c r="D181" s="2" t="s">
        <v>74</v>
      </c>
      <c r="E181" s="2" t="s">
        <v>600</v>
      </c>
      <c r="F181" s="2">
        <v>1986</v>
      </c>
      <c r="G181" s="2">
        <v>116</v>
      </c>
      <c r="H181" s="2">
        <v>35</v>
      </c>
      <c r="I181" s="2">
        <v>20</v>
      </c>
      <c r="J181" s="2">
        <v>18</v>
      </c>
      <c r="K181" s="2">
        <v>30</v>
      </c>
      <c r="L181" s="2">
        <f t="shared" ca="1" si="16"/>
        <v>40</v>
      </c>
      <c r="M181" s="2">
        <v>22</v>
      </c>
      <c r="N181" s="2">
        <v>40</v>
      </c>
      <c r="O181" s="2">
        <v>1732</v>
      </c>
      <c r="P181" s="2">
        <f t="shared" ca="1" si="17"/>
        <v>0.55000000000000004</v>
      </c>
      <c r="Q181" s="2">
        <f t="shared" ca="1" si="18"/>
        <v>29.353448275862064</v>
      </c>
      <c r="R181" s="2">
        <v>11.545299999999999</v>
      </c>
      <c r="S181" s="2">
        <f t="shared" si="23"/>
        <v>40.424610344827585</v>
      </c>
      <c r="T181" s="2">
        <v>22</v>
      </c>
      <c r="U181" s="2">
        <v>39</v>
      </c>
      <c r="V181" s="2">
        <v>59</v>
      </c>
      <c r="W181" s="2">
        <f t="shared" si="19"/>
        <v>36.027767069303643</v>
      </c>
      <c r="X181" s="2">
        <v>6</v>
      </c>
      <c r="Y181" s="2">
        <f t="shared" si="20"/>
        <v>29.29163703175362</v>
      </c>
      <c r="Z181" s="2">
        <v>34.5</v>
      </c>
      <c r="AA181" s="2">
        <f t="shared" si="21"/>
        <v>27.54995462791182</v>
      </c>
      <c r="AB181" s="2">
        <f t="shared" si="22"/>
        <v>28.530685235374211</v>
      </c>
      <c r="AC181" s="2">
        <v>95.042100000000005</v>
      </c>
      <c r="AD181" s="2">
        <v>15</v>
      </c>
      <c r="AE181" s="2">
        <v>5</v>
      </c>
      <c r="AF181" s="2">
        <v>9</v>
      </c>
      <c r="AG181" s="2">
        <v>15</v>
      </c>
      <c r="AH181" s="2">
        <v>9</v>
      </c>
      <c r="AI181" t="s">
        <v>45</v>
      </c>
    </row>
    <row r="182" spans="1:35" x14ac:dyDescent="0.3">
      <c r="A182" s="2" t="s">
        <v>35</v>
      </c>
      <c r="B182" s="2" t="s">
        <v>601</v>
      </c>
      <c r="C182" s="2" t="s">
        <v>602</v>
      </c>
      <c r="D182" s="2" t="s">
        <v>43</v>
      </c>
      <c r="E182" s="2" t="s">
        <v>603</v>
      </c>
      <c r="F182" s="2">
        <v>2001</v>
      </c>
      <c r="G182" s="2">
        <v>2</v>
      </c>
      <c r="H182" s="2">
        <v>0</v>
      </c>
      <c r="I182" s="2">
        <v>2</v>
      </c>
      <c r="J182" s="2">
        <v>2</v>
      </c>
      <c r="K182" s="2">
        <v>2</v>
      </c>
      <c r="L182" s="2">
        <f t="shared" ca="1" si="16"/>
        <v>25</v>
      </c>
      <c r="M182" s="2">
        <v>1</v>
      </c>
      <c r="N182" s="2">
        <v>0</v>
      </c>
      <c r="O182" s="2">
        <v>5</v>
      </c>
      <c r="P182" s="2">
        <f t="shared" ca="1" si="17"/>
        <v>0.04</v>
      </c>
      <c r="Q182" s="2">
        <f t="shared" ca="1" si="18"/>
        <v>102</v>
      </c>
      <c r="R182" s="2">
        <v>0.39219999999999999</v>
      </c>
      <c r="S182" s="2">
        <f t="shared" si="23"/>
        <v>100.3922</v>
      </c>
      <c r="T182" s="2">
        <v>1</v>
      </c>
      <c r="U182" s="2">
        <v>2</v>
      </c>
      <c r="V182" s="2">
        <v>4</v>
      </c>
      <c r="W182" s="2">
        <f t="shared" si="19"/>
        <v>2</v>
      </c>
      <c r="X182" s="2">
        <v>1</v>
      </c>
      <c r="Y182" s="2">
        <f t="shared" si="20"/>
        <v>1.4142135623730951</v>
      </c>
      <c r="Z182" s="2">
        <v>4</v>
      </c>
      <c r="AA182" s="2">
        <f t="shared" si="21"/>
        <v>2</v>
      </c>
      <c r="AB182" s="2">
        <f t="shared" si="22"/>
        <v>1.7320508075688772</v>
      </c>
      <c r="AC182" s="2">
        <v>2</v>
      </c>
      <c r="AD182" s="2">
        <v>1</v>
      </c>
      <c r="AE182" s="2">
        <v>0</v>
      </c>
      <c r="AF182" s="2">
        <v>0</v>
      </c>
      <c r="AG182" s="2">
        <v>0</v>
      </c>
      <c r="AH182" s="2">
        <v>1</v>
      </c>
      <c r="AI182" t="s">
        <v>45</v>
      </c>
    </row>
    <row r="183" spans="1:35" x14ac:dyDescent="0.3">
      <c r="A183" s="2" t="s">
        <v>35</v>
      </c>
      <c r="B183" s="2" t="s">
        <v>604</v>
      </c>
      <c r="C183" s="2" t="s">
        <v>605</v>
      </c>
      <c r="D183" s="2" t="s">
        <v>91</v>
      </c>
      <c r="E183" s="2" t="s">
        <v>606</v>
      </c>
      <c r="F183" s="2">
        <v>2018</v>
      </c>
      <c r="G183" s="2">
        <v>26</v>
      </c>
      <c r="H183" s="2">
        <v>6</v>
      </c>
      <c r="I183" s="2">
        <v>7</v>
      </c>
      <c r="J183" s="2">
        <v>0</v>
      </c>
      <c r="K183" s="2">
        <v>7</v>
      </c>
      <c r="L183" s="2">
        <f t="shared" ca="1" si="16"/>
        <v>8</v>
      </c>
      <c r="M183" s="2">
        <v>7</v>
      </c>
      <c r="N183" s="2">
        <v>7</v>
      </c>
      <c r="O183" s="2">
        <v>544</v>
      </c>
      <c r="P183" s="2">
        <f t="shared" ca="1" si="17"/>
        <v>0.875</v>
      </c>
      <c r="Q183" s="2">
        <f t="shared" ca="1" si="18"/>
        <v>41.442307692307693</v>
      </c>
      <c r="R183" s="2">
        <v>9.9330999999999996</v>
      </c>
      <c r="S183" s="2">
        <f t="shared" si="23"/>
        <v>48.010023076923076</v>
      </c>
      <c r="T183" s="2">
        <v>7</v>
      </c>
      <c r="U183" s="2">
        <v>23</v>
      </c>
      <c r="V183" s="2">
        <v>74.857100000000003</v>
      </c>
      <c r="W183" s="2">
        <f t="shared" si="19"/>
        <v>22.891039731737834</v>
      </c>
      <c r="X183" s="2">
        <v>4</v>
      </c>
      <c r="Y183" s="2">
        <f t="shared" si="20"/>
        <v>12.68857754044952</v>
      </c>
      <c r="Z183" s="2">
        <v>28</v>
      </c>
      <c r="AA183" s="2">
        <f t="shared" si="21"/>
        <v>14</v>
      </c>
      <c r="AB183" s="2">
        <f t="shared" si="22"/>
        <v>21.794487835230267</v>
      </c>
      <c r="AC183" s="2">
        <v>32.1248</v>
      </c>
      <c r="AD183" s="2">
        <v>6</v>
      </c>
      <c r="AE183" s="2">
        <v>5</v>
      </c>
      <c r="AF183" s="2">
        <v>2</v>
      </c>
      <c r="AG183" s="2">
        <v>2</v>
      </c>
      <c r="AH183" s="2">
        <v>0</v>
      </c>
      <c r="AI183" t="s">
        <v>93</v>
      </c>
    </row>
    <row r="184" spans="1:35" x14ac:dyDescent="0.3">
      <c r="A184" s="2" t="s">
        <v>35</v>
      </c>
      <c r="B184" s="2" t="s">
        <v>607</v>
      </c>
      <c r="C184" s="2" t="s">
        <v>608</v>
      </c>
      <c r="D184" s="2" t="s">
        <v>51</v>
      </c>
      <c r="E184" s="2" t="s">
        <v>609</v>
      </c>
      <c r="F184" s="2">
        <v>1977</v>
      </c>
      <c r="G184" s="2">
        <v>481</v>
      </c>
      <c r="H184" s="2">
        <v>344</v>
      </c>
      <c r="I184" s="2">
        <v>26</v>
      </c>
      <c r="J184" s="2">
        <v>78</v>
      </c>
      <c r="K184" s="2">
        <v>98</v>
      </c>
      <c r="L184" s="2">
        <f t="shared" ca="1" si="16"/>
        <v>49</v>
      </c>
      <c r="M184" s="2">
        <v>56</v>
      </c>
      <c r="N184" s="2">
        <v>283</v>
      </c>
      <c r="O184" s="2">
        <v>12561</v>
      </c>
      <c r="P184" s="2">
        <f t="shared" ca="1" si="17"/>
        <v>1.1428571428571428</v>
      </c>
      <c r="Q184" s="2">
        <f t="shared" ca="1" si="18"/>
        <v>14.915354915354914</v>
      </c>
      <c r="R184" s="2">
        <v>19.843699999999998</v>
      </c>
      <c r="S184" s="2">
        <f t="shared" si="23"/>
        <v>34.521454677754676</v>
      </c>
      <c r="T184" s="2">
        <v>56</v>
      </c>
      <c r="U184" s="2">
        <v>87</v>
      </c>
      <c r="V184" s="2">
        <v>108.8929</v>
      </c>
      <c r="W184" s="2">
        <f t="shared" si="19"/>
        <v>78.089707388362001</v>
      </c>
      <c r="X184" s="2">
        <v>10</v>
      </c>
      <c r="Y184" s="2">
        <f t="shared" si="20"/>
        <v>69.799713466460588</v>
      </c>
      <c r="Z184" s="2">
        <v>75.5</v>
      </c>
      <c r="AA184" s="2">
        <f t="shared" si="21"/>
        <v>65.023072828035438</v>
      </c>
      <c r="AB184" s="2">
        <f t="shared" si="22"/>
        <v>54.424281345737576</v>
      </c>
      <c r="AC184" s="2">
        <v>344.37619999999998</v>
      </c>
      <c r="AD184" s="2">
        <v>29</v>
      </c>
      <c r="AE184" s="2">
        <v>9</v>
      </c>
      <c r="AF184" s="2">
        <v>0</v>
      </c>
      <c r="AG184" s="2">
        <v>53</v>
      </c>
      <c r="AH184" s="2">
        <v>26</v>
      </c>
      <c r="AI184" t="s">
        <v>40</v>
      </c>
    </row>
    <row r="185" spans="1:35" x14ac:dyDescent="0.3">
      <c r="A185" s="2" t="s">
        <v>35</v>
      </c>
      <c r="B185" s="2" t="s">
        <v>610</v>
      </c>
      <c r="C185" s="2" t="s">
        <v>611</v>
      </c>
      <c r="D185" s="2" t="s">
        <v>43</v>
      </c>
      <c r="E185" s="2" t="s">
        <v>612</v>
      </c>
      <c r="F185" s="2">
        <v>2018</v>
      </c>
      <c r="G185" s="2">
        <v>74</v>
      </c>
      <c r="H185" s="2">
        <v>1</v>
      </c>
      <c r="I185" s="2">
        <v>24</v>
      </c>
      <c r="J185" s="2">
        <v>22</v>
      </c>
      <c r="K185" s="2">
        <v>24</v>
      </c>
      <c r="L185" s="2">
        <f t="shared" ca="1" si="16"/>
        <v>8</v>
      </c>
      <c r="M185" s="2">
        <v>7</v>
      </c>
      <c r="N185" s="2">
        <v>4</v>
      </c>
      <c r="O185" s="2">
        <v>276</v>
      </c>
      <c r="P185" s="2">
        <f t="shared" ca="1" si="17"/>
        <v>0.875</v>
      </c>
      <c r="Q185" s="2">
        <f t="shared" ca="1" si="18"/>
        <v>26.722972972972972</v>
      </c>
      <c r="R185" s="2">
        <v>9.1287000000000003</v>
      </c>
      <c r="S185" s="2">
        <f t="shared" si="23"/>
        <v>34.669240540540535</v>
      </c>
      <c r="T185" s="2">
        <v>7</v>
      </c>
      <c r="U185" s="2">
        <v>16</v>
      </c>
      <c r="V185" s="2">
        <v>35.714300000000001</v>
      </c>
      <c r="W185" s="2">
        <f t="shared" si="19"/>
        <v>15.811391463119241</v>
      </c>
      <c r="X185" s="2">
        <v>3</v>
      </c>
      <c r="Y185" s="2">
        <f t="shared" si="20"/>
        <v>10.583005244258363</v>
      </c>
      <c r="Z185" s="2">
        <v>12</v>
      </c>
      <c r="AA185" s="2">
        <f t="shared" si="21"/>
        <v>9.1651513899116797</v>
      </c>
      <c r="AB185" s="2">
        <f t="shared" si="22"/>
        <v>14.177450405485466</v>
      </c>
      <c r="AC185" s="2">
        <v>21.656400000000001</v>
      </c>
      <c r="AD185" s="2">
        <v>5</v>
      </c>
      <c r="AE185" s="2">
        <v>1</v>
      </c>
      <c r="AF185" s="2">
        <v>4</v>
      </c>
      <c r="AG185" s="2">
        <v>1</v>
      </c>
      <c r="AH185" s="2">
        <v>3</v>
      </c>
      <c r="AI185" t="s">
        <v>45</v>
      </c>
    </row>
    <row r="186" spans="1:35" x14ac:dyDescent="0.3">
      <c r="A186" s="2" t="s">
        <v>35</v>
      </c>
      <c r="B186" s="2" t="s">
        <v>613</v>
      </c>
      <c r="C186" s="2" t="s">
        <v>614</v>
      </c>
      <c r="D186" s="2" t="s">
        <v>99</v>
      </c>
      <c r="E186" s="2" t="s">
        <v>615</v>
      </c>
      <c r="F186" s="2">
        <v>2009</v>
      </c>
      <c r="G186" s="2">
        <v>82</v>
      </c>
      <c r="H186" s="2">
        <v>25</v>
      </c>
      <c r="I186" s="2">
        <v>52</v>
      </c>
      <c r="J186" s="2">
        <v>7</v>
      </c>
      <c r="K186" s="2">
        <v>57</v>
      </c>
      <c r="L186" s="2">
        <f t="shared" ca="1" si="16"/>
        <v>17</v>
      </c>
      <c r="M186" s="2">
        <v>23</v>
      </c>
      <c r="N186" s="2">
        <v>26</v>
      </c>
      <c r="O186" s="2">
        <v>2055</v>
      </c>
      <c r="P186" s="2">
        <f t="shared" ca="1" si="17"/>
        <v>1.3529411764705883</v>
      </c>
      <c r="Q186" s="2">
        <f t="shared" ca="1" si="18"/>
        <v>61.406025824964132</v>
      </c>
      <c r="R186" s="2">
        <v>15.577400000000001</v>
      </c>
      <c r="S186" s="2">
        <f t="shared" si="23"/>
        <v>75.333497560975616</v>
      </c>
      <c r="T186" s="2">
        <v>23</v>
      </c>
      <c r="U186" s="2">
        <v>45</v>
      </c>
      <c r="V186" s="2">
        <v>85.260900000000007</v>
      </c>
      <c r="W186" s="2">
        <f t="shared" si="19"/>
        <v>44.283187554646517</v>
      </c>
      <c r="X186" s="2">
        <v>9</v>
      </c>
      <c r="Y186" s="2">
        <f t="shared" si="20"/>
        <v>32.171415884290823</v>
      </c>
      <c r="Z186" s="2">
        <v>53</v>
      </c>
      <c r="AA186" s="2">
        <f t="shared" si="21"/>
        <v>34.914180500192181</v>
      </c>
      <c r="AB186" s="2">
        <f t="shared" si="22"/>
        <v>37.841785105885265</v>
      </c>
      <c r="AC186" s="2">
        <v>118.5074</v>
      </c>
      <c r="AD186" s="2">
        <v>21</v>
      </c>
      <c r="AE186" s="2">
        <v>15</v>
      </c>
      <c r="AF186" s="2">
        <v>4</v>
      </c>
      <c r="AG186" s="2">
        <v>6</v>
      </c>
      <c r="AH186" s="2">
        <v>4</v>
      </c>
      <c r="AI186" t="s">
        <v>45</v>
      </c>
    </row>
    <row r="187" spans="1:35" x14ac:dyDescent="0.3">
      <c r="A187" s="2" t="s">
        <v>35</v>
      </c>
      <c r="B187" s="2" t="s">
        <v>616</v>
      </c>
      <c r="C187" s="2" t="s">
        <v>617</v>
      </c>
      <c r="D187" s="2" t="s">
        <v>91</v>
      </c>
      <c r="E187" s="2" t="s">
        <v>618</v>
      </c>
      <c r="F187" s="2">
        <v>2022</v>
      </c>
      <c r="G187" s="2">
        <v>9</v>
      </c>
      <c r="H187" s="2">
        <v>0</v>
      </c>
      <c r="I187" s="2">
        <v>8</v>
      </c>
      <c r="J187" s="2">
        <v>1</v>
      </c>
      <c r="K187" s="2">
        <v>8</v>
      </c>
      <c r="L187" s="2">
        <f t="shared" ca="1" si="16"/>
        <v>4</v>
      </c>
      <c r="M187" s="2">
        <v>7</v>
      </c>
      <c r="N187" s="2">
        <v>5</v>
      </c>
      <c r="O187" s="2">
        <v>99</v>
      </c>
      <c r="P187" s="2">
        <f t="shared" ca="1" si="17"/>
        <v>1.75</v>
      </c>
      <c r="Q187" s="2">
        <f t="shared" ca="1" si="18"/>
        <v>141.66666666666666</v>
      </c>
      <c r="R187" s="2">
        <v>5.0579999999999998</v>
      </c>
      <c r="S187" s="2">
        <f t="shared" si="23"/>
        <v>127.28022222222222</v>
      </c>
      <c r="T187" s="2">
        <v>7</v>
      </c>
      <c r="U187" s="2">
        <v>9</v>
      </c>
      <c r="V187" s="2">
        <v>14.142899999999999</v>
      </c>
      <c r="W187" s="2">
        <f t="shared" si="19"/>
        <v>9.9498894466220076</v>
      </c>
      <c r="X187" s="2">
        <v>3</v>
      </c>
      <c r="Y187" s="2">
        <f t="shared" si="20"/>
        <v>7.9372539331937721</v>
      </c>
      <c r="Z187" s="2">
        <v>12</v>
      </c>
      <c r="AA187" s="2">
        <f t="shared" si="21"/>
        <v>9.1651513899116797</v>
      </c>
      <c r="AB187" s="2">
        <f t="shared" si="22"/>
        <v>7.0710890250370912</v>
      </c>
      <c r="AC187" s="2">
        <v>17.635200000000001</v>
      </c>
      <c r="AD187" s="2">
        <v>6</v>
      </c>
      <c r="AE187" s="2">
        <v>6</v>
      </c>
      <c r="AF187" s="2">
        <v>1</v>
      </c>
      <c r="AG187" s="2">
        <v>0</v>
      </c>
      <c r="AH187" s="2">
        <v>0</v>
      </c>
      <c r="AI187" t="s">
        <v>93</v>
      </c>
    </row>
    <row r="188" spans="1:35" x14ac:dyDescent="0.3">
      <c r="A188" s="2" t="s">
        <v>35</v>
      </c>
      <c r="B188" s="2" t="s">
        <v>619</v>
      </c>
      <c r="C188" s="2" t="s">
        <v>620</v>
      </c>
      <c r="D188" s="2" t="s">
        <v>38</v>
      </c>
      <c r="E188" s="2" t="s">
        <v>621</v>
      </c>
      <c r="F188" s="2">
        <v>1979</v>
      </c>
      <c r="G188" s="2">
        <v>510</v>
      </c>
      <c r="H188" s="2">
        <v>148</v>
      </c>
      <c r="I188" s="2">
        <v>130</v>
      </c>
      <c r="J188" s="2">
        <v>82</v>
      </c>
      <c r="K188" s="2">
        <v>161</v>
      </c>
      <c r="L188" s="2">
        <f t="shared" ca="1" si="16"/>
        <v>47</v>
      </c>
      <c r="M188" s="2">
        <v>31</v>
      </c>
      <c r="N188" s="2">
        <v>121</v>
      </c>
      <c r="O188" s="2">
        <v>4661</v>
      </c>
      <c r="P188" s="2">
        <f t="shared" ca="1" si="17"/>
        <v>0.65957446808510634</v>
      </c>
      <c r="Q188" s="2">
        <f t="shared" ca="1" si="18"/>
        <v>19.090112640801003</v>
      </c>
      <c r="R188" s="2">
        <v>15.1844</v>
      </c>
      <c r="S188" s="2">
        <f t="shared" si="23"/>
        <v>34.145184313725494</v>
      </c>
      <c r="T188" s="2">
        <v>31</v>
      </c>
      <c r="U188" s="2">
        <v>52</v>
      </c>
      <c r="V188" s="2">
        <v>71.032300000000006</v>
      </c>
      <c r="W188" s="2">
        <f t="shared" si="19"/>
        <v>46.925486678349969</v>
      </c>
      <c r="X188" s="2">
        <v>8</v>
      </c>
      <c r="Y188" s="2">
        <f t="shared" si="20"/>
        <v>40.149719799769464</v>
      </c>
      <c r="Z188" s="2">
        <v>47</v>
      </c>
      <c r="AA188" s="2">
        <f t="shared" si="21"/>
        <v>38.17066936798463</v>
      </c>
      <c r="AB188" s="2">
        <f t="shared" si="22"/>
        <v>35.227848358933308</v>
      </c>
      <c r="AC188" s="2">
        <v>155.86529999999999</v>
      </c>
      <c r="AD188" s="2">
        <v>22</v>
      </c>
      <c r="AE188" s="2">
        <v>12</v>
      </c>
      <c r="AF188" s="2">
        <v>22</v>
      </c>
      <c r="AG188" s="2">
        <v>21</v>
      </c>
      <c r="AH188" s="2">
        <v>16</v>
      </c>
      <c r="AI188" t="s">
        <v>40</v>
      </c>
    </row>
    <row r="189" spans="1:35" x14ac:dyDescent="0.3">
      <c r="A189" s="2" t="s">
        <v>35</v>
      </c>
      <c r="B189" s="2" t="s">
        <v>622</v>
      </c>
      <c r="C189" s="2" t="s">
        <v>623</v>
      </c>
      <c r="D189" s="2" t="s">
        <v>38</v>
      </c>
      <c r="E189" s="2" t="s">
        <v>624</v>
      </c>
      <c r="F189" s="2">
        <v>2012</v>
      </c>
      <c r="G189" s="2">
        <v>61</v>
      </c>
      <c r="H189" s="2">
        <v>10</v>
      </c>
      <c r="I189" s="2">
        <v>16</v>
      </c>
      <c r="J189" s="2">
        <v>8</v>
      </c>
      <c r="K189" s="2">
        <v>20</v>
      </c>
      <c r="L189" s="2">
        <f t="shared" ca="1" si="16"/>
        <v>14</v>
      </c>
      <c r="M189" s="2">
        <v>5</v>
      </c>
      <c r="N189" s="2">
        <v>1</v>
      </c>
      <c r="O189" s="2">
        <v>94</v>
      </c>
      <c r="P189" s="2">
        <f t="shared" ca="1" si="17"/>
        <v>0.35714285714285715</v>
      </c>
      <c r="Q189" s="2">
        <f t="shared" ca="1" si="18"/>
        <v>23.536299765807964</v>
      </c>
      <c r="R189" s="2">
        <v>2.4485000000000001</v>
      </c>
      <c r="S189" s="2">
        <f t="shared" si="23"/>
        <v>25.399319672131146</v>
      </c>
      <c r="T189" s="2">
        <v>5</v>
      </c>
      <c r="U189" s="2">
        <v>7</v>
      </c>
      <c r="V189" s="2">
        <v>8.4</v>
      </c>
      <c r="W189" s="2">
        <f t="shared" si="19"/>
        <v>6.4807406984078604</v>
      </c>
      <c r="X189" s="2">
        <v>3</v>
      </c>
      <c r="Y189" s="2">
        <f t="shared" si="20"/>
        <v>5.9160797830996161</v>
      </c>
      <c r="Z189" s="2">
        <v>9</v>
      </c>
      <c r="AA189" s="2">
        <f t="shared" si="21"/>
        <v>6.7082039324993694</v>
      </c>
      <c r="AB189" s="2">
        <f t="shared" si="22"/>
        <v>4.1231056256176606</v>
      </c>
      <c r="AC189" s="2">
        <v>10.816700000000001</v>
      </c>
      <c r="AD189" s="2">
        <v>3</v>
      </c>
      <c r="AE189" s="2">
        <v>0</v>
      </c>
      <c r="AF189" s="2">
        <v>4</v>
      </c>
      <c r="AG189" s="2">
        <v>4</v>
      </c>
      <c r="AH189" s="2">
        <v>3</v>
      </c>
      <c r="AI189" t="s">
        <v>40</v>
      </c>
    </row>
    <row r="190" spans="1:35" x14ac:dyDescent="0.3">
      <c r="A190" s="2" t="s">
        <v>35</v>
      </c>
      <c r="B190" s="2" t="s">
        <v>625</v>
      </c>
      <c r="C190" s="2" t="s">
        <v>626</v>
      </c>
      <c r="D190" s="2" t="s">
        <v>91</v>
      </c>
      <c r="E190" s="2" t="s">
        <v>627</v>
      </c>
      <c r="F190" s="2">
        <v>1987</v>
      </c>
      <c r="G190" s="2">
        <v>430</v>
      </c>
      <c r="H190" s="2">
        <v>12</v>
      </c>
      <c r="I190" s="2">
        <v>83</v>
      </c>
      <c r="J190" s="2">
        <v>148</v>
      </c>
      <c r="K190" s="2">
        <v>200</v>
      </c>
      <c r="L190" s="2">
        <f t="shared" ca="1" si="16"/>
        <v>39</v>
      </c>
      <c r="M190" s="2">
        <v>39</v>
      </c>
      <c r="N190" s="2">
        <v>178</v>
      </c>
      <c r="O190" s="2">
        <v>7892</v>
      </c>
      <c r="P190" s="2">
        <f t="shared" ca="1" si="17"/>
        <v>1</v>
      </c>
      <c r="Q190" s="2">
        <f t="shared" ca="1" si="18"/>
        <v>32.279069767441861</v>
      </c>
      <c r="R190" s="2">
        <v>16.991299999999999</v>
      </c>
      <c r="S190" s="2">
        <f t="shared" si="23"/>
        <v>49.037811627906976</v>
      </c>
      <c r="T190" s="2">
        <v>39</v>
      </c>
      <c r="U190" s="2">
        <v>74</v>
      </c>
      <c r="V190" s="2">
        <v>116.2821</v>
      </c>
      <c r="W190" s="2">
        <f t="shared" si="19"/>
        <v>67.342422736340581</v>
      </c>
      <c r="X190" s="2">
        <v>10</v>
      </c>
      <c r="Y190" s="2">
        <f t="shared" si="20"/>
        <v>53.721504074253168</v>
      </c>
      <c r="Z190" s="2">
        <v>65</v>
      </c>
      <c r="AA190" s="2">
        <f t="shared" si="21"/>
        <v>50.34878350069642</v>
      </c>
      <c r="AB190" s="2">
        <f t="shared" si="22"/>
        <v>54.899926229458636</v>
      </c>
      <c r="AC190" s="2">
        <v>219.69749999999999</v>
      </c>
      <c r="AD190" s="2">
        <v>32</v>
      </c>
      <c r="AE190" s="2">
        <v>17</v>
      </c>
      <c r="AF190" s="2">
        <v>14</v>
      </c>
      <c r="AG190" s="2">
        <v>21</v>
      </c>
      <c r="AH190" s="2">
        <v>27</v>
      </c>
      <c r="AI190" t="s">
        <v>93</v>
      </c>
    </row>
    <row r="191" spans="1:35" x14ac:dyDescent="0.3">
      <c r="A191" s="2" t="s">
        <v>35</v>
      </c>
      <c r="B191" s="2" t="s">
        <v>628</v>
      </c>
      <c r="C191" s="2" t="s">
        <v>629</v>
      </c>
      <c r="D191" s="2" t="s">
        <v>51</v>
      </c>
      <c r="E191" s="2" t="s">
        <v>630</v>
      </c>
      <c r="F191" s="2">
        <v>1969</v>
      </c>
      <c r="G191" s="2">
        <v>41</v>
      </c>
      <c r="H191" s="2">
        <v>6</v>
      </c>
      <c r="I191" s="2">
        <v>11</v>
      </c>
      <c r="J191" s="2">
        <v>12</v>
      </c>
      <c r="K191" s="2">
        <v>15</v>
      </c>
      <c r="L191" s="2">
        <f t="shared" ca="1" si="16"/>
        <v>57</v>
      </c>
      <c r="M191" s="2">
        <v>15</v>
      </c>
      <c r="N191" s="2">
        <v>16</v>
      </c>
      <c r="O191" s="2">
        <v>1503</v>
      </c>
      <c r="P191" s="2">
        <f t="shared" ca="1" si="17"/>
        <v>0.26315789473684209</v>
      </c>
      <c r="Q191" s="2">
        <f t="shared" ca="1" si="18"/>
        <v>54.056482670089856</v>
      </c>
      <c r="R191" s="2">
        <v>11.529400000000001</v>
      </c>
      <c r="S191" s="2">
        <f t="shared" si="23"/>
        <v>64.944034146341451</v>
      </c>
      <c r="T191" s="2">
        <v>15</v>
      </c>
      <c r="U191" s="2">
        <v>38</v>
      </c>
      <c r="V191" s="2">
        <v>95.8</v>
      </c>
      <c r="W191" s="2">
        <f t="shared" si="19"/>
        <v>37.907782842049734</v>
      </c>
      <c r="X191" s="2">
        <v>8</v>
      </c>
      <c r="Y191" s="2">
        <f t="shared" si="20"/>
        <v>23.874672772626646</v>
      </c>
      <c r="Z191" s="2">
        <v>86</v>
      </c>
      <c r="AA191" s="2">
        <f t="shared" si="21"/>
        <v>35.91656999213594</v>
      </c>
      <c r="AB191" s="2">
        <f t="shared" si="22"/>
        <v>34.813790371058424</v>
      </c>
      <c r="AC191" s="2">
        <v>81.147999999999996</v>
      </c>
      <c r="AD191" s="2">
        <v>11</v>
      </c>
      <c r="AE191" s="2">
        <v>2</v>
      </c>
      <c r="AF191" s="2">
        <v>4</v>
      </c>
      <c r="AG191" s="2">
        <v>8</v>
      </c>
      <c r="AH191" s="2">
        <v>7</v>
      </c>
      <c r="AI191" t="s">
        <v>40</v>
      </c>
    </row>
    <row r="192" spans="1:35" x14ac:dyDescent="0.3">
      <c r="A192" s="2" t="s">
        <v>35</v>
      </c>
      <c r="B192" s="2" t="s">
        <v>631</v>
      </c>
      <c r="C192" s="2" t="s">
        <v>632</v>
      </c>
      <c r="D192" s="2" t="s">
        <v>38</v>
      </c>
      <c r="E192" s="2" t="s">
        <v>633</v>
      </c>
      <c r="F192" s="2">
        <v>1997</v>
      </c>
      <c r="G192" s="2">
        <v>114</v>
      </c>
      <c r="H192" s="2">
        <v>39</v>
      </c>
      <c r="I192" s="2">
        <v>8</v>
      </c>
      <c r="J192" s="2">
        <v>53</v>
      </c>
      <c r="K192" s="2">
        <v>58</v>
      </c>
      <c r="L192" s="2">
        <f t="shared" ca="1" si="16"/>
        <v>29</v>
      </c>
      <c r="M192" s="2">
        <v>31</v>
      </c>
      <c r="N192" s="2">
        <v>60</v>
      </c>
      <c r="O192" s="2">
        <v>2512</v>
      </c>
      <c r="P192" s="2">
        <f t="shared" ca="1" si="17"/>
        <v>1.0689655172413792</v>
      </c>
      <c r="Q192" s="2">
        <f t="shared" ca="1" si="18"/>
        <v>50.14821536600121</v>
      </c>
      <c r="R192" s="2">
        <v>13.727399999999999</v>
      </c>
      <c r="S192" s="2">
        <f t="shared" si="23"/>
        <v>62.937926315789468</v>
      </c>
      <c r="T192" s="2">
        <v>31</v>
      </c>
      <c r="U192" s="2">
        <v>46</v>
      </c>
      <c r="V192" s="2">
        <v>58.935499999999998</v>
      </c>
      <c r="W192" s="2">
        <f t="shared" si="19"/>
        <v>42.743426395178005</v>
      </c>
      <c r="X192" s="2">
        <v>8</v>
      </c>
      <c r="Y192" s="2">
        <f t="shared" si="20"/>
        <v>37.76241517699841</v>
      </c>
      <c r="Z192" s="2">
        <v>46</v>
      </c>
      <c r="AA192" s="2">
        <f t="shared" si="21"/>
        <v>37.76241517699841</v>
      </c>
      <c r="AB192" s="2">
        <f t="shared" si="22"/>
        <v>29.42788643446892</v>
      </c>
      <c r="AC192" s="2">
        <v>147.8005</v>
      </c>
      <c r="AD192" s="2">
        <v>23</v>
      </c>
      <c r="AE192" s="2">
        <v>2</v>
      </c>
      <c r="AF192" s="2">
        <v>5</v>
      </c>
      <c r="AG192" s="2">
        <v>19</v>
      </c>
      <c r="AH192" s="2">
        <v>21</v>
      </c>
      <c r="AI192" t="s">
        <v>40</v>
      </c>
    </row>
    <row r="193" spans="1:35" x14ac:dyDescent="0.3">
      <c r="A193" s="2" t="s">
        <v>35</v>
      </c>
      <c r="B193" s="2" t="s">
        <v>634</v>
      </c>
      <c r="C193" s="2" t="s">
        <v>635</v>
      </c>
      <c r="D193" s="2" t="s">
        <v>99</v>
      </c>
      <c r="E193" s="2" t="s">
        <v>636</v>
      </c>
      <c r="F193" s="2">
        <v>2000</v>
      </c>
      <c r="G193" s="2">
        <v>73</v>
      </c>
      <c r="H193" s="2">
        <v>33</v>
      </c>
      <c r="I193" s="2">
        <v>13</v>
      </c>
      <c r="J193" s="2">
        <v>14</v>
      </c>
      <c r="K193" s="2">
        <v>26</v>
      </c>
      <c r="L193" s="2">
        <f t="shared" ca="1" si="16"/>
        <v>26</v>
      </c>
      <c r="M193" s="2">
        <v>23</v>
      </c>
      <c r="N193" s="2">
        <v>31</v>
      </c>
      <c r="O193" s="2">
        <v>5738</v>
      </c>
      <c r="P193" s="2">
        <f t="shared" ca="1" si="17"/>
        <v>0.88461538461538458</v>
      </c>
      <c r="Q193" s="2">
        <f t="shared" ca="1" si="18"/>
        <v>46.006322444678617</v>
      </c>
      <c r="R193" s="2">
        <v>16.5533</v>
      </c>
      <c r="S193" s="2">
        <f t="shared" si="23"/>
        <v>61.347820547945204</v>
      </c>
      <c r="T193" s="2">
        <v>23</v>
      </c>
      <c r="U193" s="2">
        <v>73</v>
      </c>
      <c r="V193" s="2">
        <v>242.04349999999999</v>
      </c>
      <c r="W193" s="2">
        <f t="shared" si="19"/>
        <v>74.612334771135536</v>
      </c>
      <c r="X193" s="2">
        <v>9</v>
      </c>
      <c r="Y193" s="2">
        <f t="shared" si="20"/>
        <v>40.975602497095757</v>
      </c>
      <c r="Z193" s="2">
        <v>84</v>
      </c>
      <c r="AA193" s="2">
        <f t="shared" si="21"/>
        <v>43.954521951671822</v>
      </c>
      <c r="AB193" s="2">
        <f t="shared" si="22"/>
        <v>70.978873617436335</v>
      </c>
      <c r="AC193" s="2">
        <v>153.85380000000001</v>
      </c>
      <c r="AD193" s="2">
        <v>20</v>
      </c>
      <c r="AE193" s="2">
        <v>8</v>
      </c>
      <c r="AF193" s="2">
        <v>7</v>
      </c>
      <c r="AG193" s="2">
        <v>4</v>
      </c>
      <c r="AH193" s="2">
        <v>11</v>
      </c>
      <c r="AI193" t="s">
        <v>45</v>
      </c>
    </row>
    <row r="194" spans="1:35" x14ac:dyDescent="0.3">
      <c r="A194" s="2" t="s">
        <v>35</v>
      </c>
      <c r="B194" s="2" t="s">
        <v>637</v>
      </c>
      <c r="C194" s="2" t="s">
        <v>638</v>
      </c>
      <c r="D194" s="2" t="s">
        <v>38</v>
      </c>
      <c r="E194" s="2" t="s">
        <v>639</v>
      </c>
      <c r="F194" s="2">
        <v>1967</v>
      </c>
      <c r="G194" s="2">
        <v>142</v>
      </c>
      <c r="H194" s="2">
        <v>60</v>
      </c>
      <c r="I194" s="2">
        <v>37</v>
      </c>
      <c r="J194" s="2">
        <v>16</v>
      </c>
      <c r="K194" s="2">
        <v>41</v>
      </c>
      <c r="L194" s="2">
        <f t="shared" ref="L194:L257" ca="1" si="24">IF((YEAR(TODAY())-F194)&lt;=0,1,YEAR(TODAY())-F194)</f>
        <v>59</v>
      </c>
      <c r="M194" s="2">
        <v>31</v>
      </c>
      <c r="N194" s="2">
        <v>43</v>
      </c>
      <c r="O194" s="2">
        <v>41618</v>
      </c>
      <c r="P194" s="2">
        <f t="shared" ref="P194:P257" ca="1" si="25">IFERROR(M194/L194,0)</f>
        <v>0.52542372881355937</v>
      </c>
      <c r="Q194" s="2">
        <f t="shared" ref="Q194:Q257" ca="1" si="26">IFERROR((100/G194)*(M194-0.1*H194+0.5*K194+P194),0)</f>
        <v>32.412270231558843</v>
      </c>
      <c r="R194" s="2">
        <v>66.391000000000005</v>
      </c>
      <c r="S194" s="2">
        <f t="shared" si="23"/>
        <v>98.433253521126773</v>
      </c>
      <c r="T194" s="2">
        <v>31</v>
      </c>
      <c r="U194" s="2">
        <v>142</v>
      </c>
      <c r="V194" s="2">
        <v>1332.3548000000001</v>
      </c>
      <c r="W194" s="2">
        <f t="shared" ref="W194:W257" si="27">IFERROR(SQRT(V194*T194),0)</f>
        <v>203.23139226015257</v>
      </c>
      <c r="X194" s="2">
        <v>14</v>
      </c>
      <c r="Y194" s="2">
        <f t="shared" ref="Y194:Y257" si="28">IFERROR(SQRT(T194*U194),0)</f>
        <v>66.347569661593482</v>
      </c>
      <c r="Z194" s="2">
        <v>195</v>
      </c>
      <c r="AA194" s="2">
        <f t="shared" ref="AA194:AA257" si="29">IFERROR(SQRT(T194*Z194),0)</f>
        <v>77.749598069700653</v>
      </c>
      <c r="AB194" s="2">
        <f t="shared" ref="AB194:AB257" si="30">IFERROR(SQRT(MAX(V194*T194-T194^2,0)),0)</f>
        <v>200.85317722157149</v>
      </c>
      <c r="AC194" s="2">
        <v>401.01119999999997</v>
      </c>
      <c r="AD194" s="2">
        <v>25</v>
      </c>
      <c r="AE194" s="2">
        <v>7</v>
      </c>
      <c r="AF194" s="2">
        <v>5</v>
      </c>
      <c r="AG194" s="2">
        <v>21</v>
      </c>
      <c r="AH194" s="2">
        <v>9</v>
      </c>
      <c r="AI194" t="s">
        <v>40</v>
      </c>
    </row>
    <row r="195" spans="1:35" x14ac:dyDescent="0.3">
      <c r="A195" s="2" t="s">
        <v>35</v>
      </c>
      <c r="B195" s="2" t="s">
        <v>640</v>
      </c>
      <c r="C195" s="2" t="s">
        <v>641</v>
      </c>
      <c r="D195" s="2" t="s">
        <v>109</v>
      </c>
      <c r="E195" s="2" t="s">
        <v>642</v>
      </c>
      <c r="F195" s="2">
        <v>2008</v>
      </c>
      <c r="G195" s="2">
        <v>127</v>
      </c>
      <c r="H195" s="2">
        <v>11</v>
      </c>
      <c r="I195" s="2">
        <v>84</v>
      </c>
      <c r="J195" s="2">
        <v>57</v>
      </c>
      <c r="K195" s="2">
        <v>90</v>
      </c>
      <c r="L195" s="2">
        <f t="shared" ca="1" si="24"/>
        <v>18</v>
      </c>
      <c r="M195" s="2">
        <v>23</v>
      </c>
      <c r="N195" s="2">
        <v>35</v>
      </c>
      <c r="O195" s="2">
        <v>1915</v>
      </c>
      <c r="P195" s="2">
        <f t="shared" ca="1" si="25"/>
        <v>1.2777777777777777</v>
      </c>
      <c r="Q195" s="2">
        <f t="shared" ca="1" si="26"/>
        <v>53.683289588801401</v>
      </c>
      <c r="R195" s="2">
        <v>15.4727</v>
      </c>
      <c r="S195" s="2">
        <f t="shared" ref="S195:S258" si="31">IFERROR((100/G195)*(M195-0.1*H195+0.5*K195)+R195,0)</f>
        <v>68.149865354330714</v>
      </c>
      <c r="T195" s="2">
        <v>23</v>
      </c>
      <c r="U195" s="2">
        <v>43</v>
      </c>
      <c r="V195" s="2">
        <v>71.087000000000003</v>
      </c>
      <c r="W195" s="2">
        <f t="shared" si="27"/>
        <v>40.435145603793735</v>
      </c>
      <c r="X195" s="2">
        <v>8</v>
      </c>
      <c r="Y195" s="2">
        <f t="shared" si="28"/>
        <v>31.448370387032774</v>
      </c>
      <c r="Z195" s="2">
        <v>61</v>
      </c>
      <c r="AA195" s="2">
        <f t="shared" si="29"/>
        <v>37.456641600656084</v>
      </c>
      <c r="AB195" s="2">
        <f t="shared" si="30"/>
        <v>33.256593331247863</v>
      </c>
      <c r="AC195" s="2">
        <v>114.5949</v>
      </c>
      <c r="AD195" s="2">
        <v>19</v>
      </c>
      <c r="AE195" s="2">
        <v>8</v>
      </c>
      <c r="AF195" s="2">
        <v>6</v>
      </c>
      <c r="AG195" s="2">
        <v>8</v>
      </c>
      <c r="AH195" s="2">
        <v>14</v>
      </c>
      <c r="AI195" t="s">
        <v>93</v>
      </c>
    </row>
    <row r="196" spans="1:35" x14ac:dyDescent="0.3">
      <c r="A196" s="2" t="s">
        <v>35</v>
      </c>
      <c r="B196" s="2" t="s">
        <v>643</v>
      </c>
      <c r="C196" s="2" t="s">
        <v>644</v>
      </c>
      <c r="D196" s="2" t="s">
        <v>99</v>
      </c>
      <c r="E196" s="2" t="s">
        <v>645</v>
      </c>
      <c r="F196" s="2">
        <v>2009</v>
      </c>
      <c r="G196" s="2">
        <v>50</v>
      </c>
      <c r="H196" s="2">
        <v>12</v>
      </c>
      <c r="I196" s="2">
        <v>9</v>
      </c>
      <c r="J196" s="2">
        <v>25</v>
      </c>
      <c r="K196" s="2">
        <v>33</v>
      </c>
      <c r="L196" s="2">
        <f t="shared" ca="1" si="24"/>
        <v>17</v>
      </c>
      <c r="M196" s="2">
        <v>14</v>
      </c>
      <c r="N196" s="2">
        <v>16</v>
      </c>
      <c r="O196" s="2">
        <v>587</v>
      </c>
      <c r="P196" s="2">
        <f t="shared" ca="1" si="25"/>
        <v>0.82352941176470584</v>
      </c>
      <c r="Q196" s="2">
        <f t="shared" ca="1" si="26"/>
        <v>60.247058823529414</v>
      </c>
      <c r="R196" s="2">
        <v>6.2435</v>
      </c>
      <c r="S196" s="2">
        <f t="shared" si="31"/>
        <v>64.843500000000006</v>
      </c>
      <c r="T196" s="2">
        <v>14</v>
      </c>
      <c r="U196" s="2">
        <v>22</v>
      </c>
      <c r="V196" s="2">
        <v>30.571400000000001</v>
      </c>
      <c r="W196" s="2">
        <f t="shared" si="27"/>
        <v>20.688151198210051</v>
      </c>
      <c r="X196" s="2">
        <v>5</v>
      </c>
      <c r="Y196" s="2">
        <f t="shared" si="28"/>
        <v>17.549928774784245</v>
      </c>
      <c r="Z196" s="2">
        <v>19.5</v>
      </c>
      <c r="AA196" s="2">
        <f t="shared" si="29"/>
        <v>16.522711641858304</v>
      </c>
      <c r="AB196" s="2">
        <f t="shared" si="30"/>
        <v>15.23153308107887</v>
      </c>
      <c r="AC196" s="2">
        <v>45.923900000000003</v>
      </c>
      <c r="AD196" s="2">
        <v>11</v>
      </c>
      <c r="AE196" s="2">
        <v>4</v>
      </c>
      <c r="AF196" s="2">
        <v>2</v>
      </c>
      <c r="AG196" s="2">
        <v>8</v>
      </c>
      <c r="AH196" s="2">
        <v>9</v>
      </c>
      <c r="AI196" t="s">
        <v>45</v>
      </c>
    </row>
    <row r="197" spans="1:35" x14ac:dyDescent="0.3">
      <c r="A197" s="2" t="s">
        <v>35</v>
      </c>
      <c r="B197" s="2" t="s">
        <v>646</v>
      </c>
      <c r="C197" s="2" t="s">
        <v>647</v>
      </c>
      <c r="D197" s="2" t="s">
        <v>128</v>
      </c>
      <c r="E197" s="2" t="s">
        <v>648</v>
      </c>
      <c r="F197" s="2">
        <v>2013</v>
      </c>
      <c r="G197" s="2">
        <v>20</v>
      </c>
      <c r="H197" s="2">
        <v>0</v>
      </c>
      <c r="I197" s="2">
        <v>12</v>
      </c>
      <c r="J197" s="2">
        <v>8</v>
      </c>
      <c r="K197" s="2">
        <v>13</v>
      </c>
      <c r="L197" s="2">
        <f t="shared" ca="1" si="24"/>
        <v>13</v>
      </c>
      <c r="M197" s="2">
        <v>5</v>
      </c>
      <c r="N197" s="2">
        <v>1</v>
      </c>
      <c r="O197" s="2">
        <v>95</v>
      </c>
      <c r="P197" s="2">
        <f t="shared" ca="1" si="25"/>
        <v>0.38461538461538464</v>
      </c>
      <c r="Q197" s="2">
        <f t="shared" ca="1" si="26"/>
        <v>59.423076923076927</v>
      </c>
      <c r="R197" s="2">
        <v>5.0284000000000004</v>
      </c>
      <c r="S197" s="2">
        <f t="shared" si="31"/>
        <v>62.528399999999998</v>
      </c>
      <c r="T197" s="2">
        <v>5</v>
      </c>
      <c r="U197" s="2">
        <v>9</v>
      </c>
      <c r="V197" s="2">
        <v>17.2</v>
      </c>
      <c r="W197" s="2">
        <f t="shared" si="27"/>
        <v>9.2736184954957039</v>
      </c>
      <c r="X197" s="2">
        <v>2</v>
      </c>
      <c r="Y197" s="2">
        <f t="shared" si="28"/>
        <v>6.7082039324993694</v>
      </c>
      <c r="Z197" s="2">
        <v>7</v>
      </c>
      <c r="AA197" s="2">
        <f t="shared" si="29"/>
        <v>5.9160797830996161</v>
      </c>
      <c r="AB197" s="2">
        <f t="shared" si="30"/>
        <v>7.810249675906654</v>
      </c>
      <c r="AC197" s="2">
        <v>12</v>
      </c>
      <c r="AD197" s="2">
        <v>4</v>
      </c>
      <c r="AE197" s="2">
        <v>2</v>
      </c>
      <c r="AF197" s="2">
        <v>0</v>
      </c>
      <c r="AG197" s="2">
        <v>1</v>
      </c>
      <c r="AH197" s="2">
        <v>3</v>
      </c>
      <c r="AI197" t="s">
        <v>45</v>
      </c>
    </row>
    <row r="198" spans="1:35" x14ac:dyDescent="0.3">
      <c r="A198" s="2" t="s">
        <v>35</v>
      </c>
      <c r="B198" s="2" t="s">
        <v>649</v>
      </c>
      <c r="C198" s="2" t="s">
        <v>650</v>
      </c>
      <c r="D198" s="2" t="s">
        <v>240</v>
      </c>
      <c r="E198" s="2" t="s">
        <v>651</v>
      </c>
      <c r="F198" s="2">
        <v>1985</v>
      </c>
      <c r="G198" s="2">
        <v>68</v>
      </c>
      <c r="H198" s="2">
        <v>1</v>
      </c>
      <c r="I198" s="2">
        <v>47</v>
      </c>
      <c r="J198" s="2">
        <v>37</v>
      </c>
      <c r="K198" s="2">
        <v>47</v>
      </c>
      <c r="L198" s="2">
        <f t="shared" ca="1" si="24"/>
        <v>41</v>
      </c>
      <c r="M198" s="2">
        <v>9</v>
      </c>
      <c r="N198" s="2">
        <v>9</v>
      </c>
      <c r="O198" s="2">
        <v>228</v>
      </c>
      <c r="P198" s="2">
        <f t="shared" ca="1" si="25"/>
        <v>0.21951219512195122</v>
      </c>
      <c r="Q198" s="2">
        <f t="shared" ca="1" si="26"/>
        <v>47.969870875179339</v>
      </c>
      <c r="R198" s="2">
        <v>5.7930999999999999</v>
      </c>
      <c r="S198" s="2">
        <f t="shared" si="31"/>
        <v>53.440158823529416</v>
      </c>
      <c r="T198" s="2">
        <v>9</v>
      </c>
      <c r="U198" s="2">
        <v>14</v>
      </c>
      <c r="V198" s="2">
        <v>20.555599999999998</v>
      </c>
      <c r="W198" s="2">
        <f t="shared" si="27"/>
        <v>13.601485213019936</v>
      </c>
      <c r="X198" s="2">
        <v>3</v>
      </c>
      <c r="Y198" s="2">
        <f t="shared" si="28"/>
        <v>11.224972160321824</v>
      </c>
      <c r="Z198" s="2">
        <v>15</v>
      </c>
      <c r="AA198" s="2">
        <f t="shared" si="29"/>
        <v>11.61895003862225</v>
      </c>
      <c r="AB198" s="2">
        <f t="shared" si="30"/>
        <v>10.198058638780225</v>
      </c>
      <c r="AC198" s="2">
        <v>26.3629</v>
      </c>
      <c r="AD198" s="2">
        <v>7</v>
      </c>
      <c r="AE198" s="2">
        <v>2</v>
      </c>
      <c r="AF198" s="2">
        <v>3</v>
      </c>
      <c r="AG198" s="2">
        <v>1</v>
      </c>
      <c r="AH198" s="2">
        <v>4</v>
      </c>
      <c r="AI198" t="s">
        <v>45</v>
      </c>
    </row>
    <row r="199" spans="1:35" x14ac:dyDescent="0.3">
      <c r="A199" s="2" t="s">
        <v>35</v>
      </c>
      <c r="B199" s="2" t="s">
        <v>652</v>
      </c>
      <c r="C199" s="2" t="s">
        <v>653</v>
      </c>
      <c r="D199" s="2" t="s">
        <v>277</v>
      </c>
      <c r="E199" s="2" t="s">
        <v>654</v>
      </c>
      <c r="F199" s="2">
        <v>2022</v>
      </c>
      <c r="G199" s="2">
        <v>3</v>
      </c>
      <c r="H199" s="2">
        <v>1</v>
      </c>
      <c r="I199" s="2">
        <v>1</v>
      </c>
      <c r="J199" s="2">
        <v>0</v>
      </c>
      <c r="K199" s="2">
        <v>1</v>
      </c>
      <c r="L199" s="2">
        <f t="shared" ca="1" si="24"/>
        <v>4</v>
      </c>
      <c r="M199" s="2">
        <v>2</v>
      </c>
      <c r="N199" s="2">
        <v>1</v>
      </c>
      <c r="O199" s="2">
        <v>94</v>
      </c>
      <c r="P199" s="2">
        <f t="shared" ca="1" si="25"/>
        <v>0.5</v>
      </c>
      <c r="Q199" s="2">
        <f t="shared" ca="1" si="26"/>
        <v>96.666666666666671</v>
      </c>
      <c r="R199" s="2">
        <v>4.8373999999999997</v>
      </c>
      <c r="S199" s="2">
        <f t="shared" si="31"/>
        <v>84.837400000000002</v>
      </c>
      <c r="T199" s="2">
        <v>2</v>
      </c>
      <c r="U199" s="2">
        <v>3</v>
      </c>
      <c r="V199" s="2">
        <v>47</v>
      </c>
      <c r="W199" s="2">
        <f t="shared" si="27"/>
        <v>9.6953597148326587</v>
      </c>
      <c r="X199" s="2">
        <v>1</v>
      </c>
      <c r="Y199" s="2">
        <f t="shared" si="28"/>
        <v>2.4494897427831779</v>
      </c>
      <c r="Z199" s="2">
        <v>47</v>
      </c>
      <c r="AA199" s="2">
        <f t="shared" si="29"/>
        <v>9.6953597148326587</v>
      </c>
      <c r="AB199" s="2">
        <f t="shared" si="30"/>
        <v>9.4868329805051381</v>
      </c>
      <c r="AC199" s="2">
        <v>9.798</v>
      </c>
      <c r="AD199" s="2">
        <v>1</v>
      </c>
      <c r="AE199" s="2">
        <v>1</v>
      </c>
      <c r="AF199" s="2">
        <v>0</v>
      </c>
      <c r="AG199" s="2">
        <v>1</v>
      </c>
      <c r="AH199" s="2">
        <v>0</v>
      </c>
      <c r="AI199" t="s">
        <v>40</v>
      </c>
    </row>
    <row r="200" spans="1:35" x14ac:dyDescent="0.3">
      <c r="A200" s="2" t="s">
        <v>35</v>
      </c>
      <c r="B200" s="2" t="s">
        <v>655</v>
      </c>
      <c r="C200" s="2" t="s">
        <v>656</v>
      </c>
      <c r="D200" s="2" t="s">
        <v>51</v>
      </c>
      <c r="E200" s="2" t="s">
        <v>657</v>
      </c>
      <c r="F200" s="2">
        <v>1980</v>
      </c>
      <c r="G200" s="2">
        <v>76</v>
      </c>
      <c r="H200" s="2">
        <v>56</v>
      </c>
      <c r="I200" s="2">
        <v>18</v>
      </c>
      <c r="J200" s="2">
        <v>5</v>
      </c>
      <c r="K200" s="2">
        <v>19</v>
      </c>
      <c r="L200" s="2">
        <f t="shared" ca="1" si="24"/>
        <v>46</v>
      </c>
      <c r="M200" s="2">
        <v>25</v>
      </c>
      <c r="N200" s="2">
        <v>43</v>
      </c>
      <c r="O200" s="2">
        <v>1777</v>
      </c>
      <c r="P200" s="2">
        <f t="shared" ca="1" si="25"/>
        <v>0.54347826086956519</v>
      </c>
      <c r="Q200" s="2">
        <f t="shared" ca="1" si="26"/>
        <v>38.741418764302061</v>
      </c>
      <c r="R200" s="2">
        <v>14.5017</v>
      </c>
      <c r="S200" s="2">
        <f t="shared" si="31"/>
        <v>52.528015789473685</v>
      </c>
      <c r="T200" s="2">
        <v>25</v>
      </c>
      <c r="U200" s="2">
        <v>41</v>
      </c>
      <c r="V200" s="2">
        <v>56.64</v>
      </c>
      <c r="W200" s="2">
        <f t="shared" si="27"/>
        <v>37.629775444453557</v>
      </c>
      <c r="X200" s="2">
        <v>7</v>
      </c>
      <c r="Y200" s="2">
        <f t="shared" si="28"/>
        <v>32.015621187164243</v>
      </c>
      <c r="Z200" s="2">
        <v>46</v>
      </c>
      <c r="AA200" s="2">
        <f t="shared" si="29"/>
        <v>33.911649915626342</v>
      </c>
      <c r="AB200" s="2">
        <f t="shared" si="30"/>
        <v>28.124722220850465</v>
      </c>
      <c r="AC200" s="2">
        <v>113.59139999999999</v>
      </c>
      <c r="AD200" s="2">
        <v>11</v>
      </c>
      <c r="AE200" s="2">
        <v>6</v>
      </c>
      <c r="AF200" s="2">
        <v>3</v>
      </c>
      <c r="AG200" s="2">
        <v>22</v>
      </c>
      <c r="AH200" s="2">
        <v>2</v>
      </c>
      <c r="AI200" t="s">
        <v>40</v>
      </c>
    </row>
    <row r="201" spans="1:35" x14ac:dyDescent="0.3">
      <c r="A201" s="2" t="s">
        <v>35</v>
      </c>
      <c r="B201" s="2" t="s">
        <v>658</v>
      </c>
      <c r="C201" s="2" t="s">
        <v>659</v>
      </c>
      <c r="D201" s="2" t="s">
        <v>74</v>
      </c>
      <c r="E201" s="2" t="s">
        <v>660</v>
      </c>
      <c r="F201" s="2">
        <v>2005</v>
      </c>
      <c r="G201" s="2">
        <v>189</v>
      </c>
      <c r="H201" s="2">
        <v>77</v>
      </c>
      <c r="I201" s="2">
        <v>48</v>
      </c>
      <c r="J201" s="2">
        <v>40</v>
      </c>
      <c r="K201" s="2">
        <v>56</v>
      </c>
      <c r="L201" s="2">
        <f t="shared" ca="1" si="24"/>
        <v>21</v>
      </c>
      <c r="M201" s="2">
        <v>33</v>
      </c>
      <c r="N201" s="2">
        <v>78</v>
      </c>
      <c r="O201" s="2">
        <v>3372</v>
      </c>
      <c r="P201" s="2">
        <f t="shared" ca="1" si="25"/>
        <v>1.5714285714285714</v>
      </c>
      <c r="Q201" s="2">
        <f t="shared" ca="1" si="26"/>
        <v>29.032501889644742</v>
      </c>
      <c r="R201" s="2">
        <v>18.150200000000002</v>
      </c>
      <c r="S201" s="2">
        <f t="shared" si="31"/>
        <v>46.351258201058201</v>
      </c>
      <c r="T201" s="2">
        <v>33</v>
      </c>
      <c r="U201" s="2">
        <v>52</v>
      </c>
      <c r="V201" s="2">
        <v>68.909099999999995</v>
      </c>
      <c r="W201" s="2">
        <f t="shared" si="27"/>
        <v>47.686479215811268</v>
      </c>
      <c r="X201" s="2">
        <v>9</v>
      </c>
      <c r="Y201" s="2">
        <f t="shared" si="28"/>
        <v>41.42463035441596</v>
      </c>
      <c r="Z201" s="2">
        <v>49</v>
      </c>
      <c r="AA201" s="2">
        <f t="shared" si="29"/>
        <v>40.2119385257662</v>
      </c>
      <c r="AB201" s="2">
        <f t="shared" si="30"/>
        <v>34.423833313563435</v>
      </c>
      <c r="AC201" s="2">
        <v>164.62989999999999</v>
      </c>
      <c r="AD201" s="2">
        <v>22</v>
      </c>
      <c r="AE201" s="2">
        <v>7</v>
      </c>
      <c r="AF201" s="2">
        <v>11</v>
      </c>
      <c r="AG201" s="2">
        <v>24</v>
      </c>
      <c r="AH201" s="2">
        <v>15</v>
      </c>
      <c r="AI201" t="s">
        <v>45</v>
      </c>
    </row>
    <row r="202" spans="1:35" x14ac:dyDescent="0.3">
      <c r="A202" s="2" t="s">
        <v>35</v>
      </c>
      <c r="B202" s="2" t="s">
        <v>661</v>
      </c>
      <c r="C202" s="2" t="s">
        <v>662</v>
      </c>
      <c r="D202" s="2" t="s">
        <v>109</v>
      </c>
      <c r="E202" s="2" t="s">
        <v>663</v>
      </c>
      <c r="F202" s="2">
        <v>2012</v>
      </c>
      <c r="G202" s="2">
        <v>16</v>
      </c>
      <c r="H202" s="2">
        <v>1</v>
      </c>
      <c r="I202" s="2">
        <v>2</v>
      </c>
      <c r="J202" s="2">
        <v>4</v>
      </c>
      <c r="K202" s="2">
        <v>4</v>
      </c>
      <c r="L202" s="2">
        <f t="shared" ca="1" si="24"/>
        <v>14</v>
      </c>
      <c r="M202" s="2">
        <v>8</v>
      </c>
      <c r="N202" s="2">
        <v>7</v>
      </c>
      <c r="O202" s="2">
        <v>255</v>
      </c>
      <c r="P202" s="2">
        <f t="shared" ca="1" si="25"/>
        <v>0.5714285714285714</v>
      </c>
      <c r="Q202" s="2">
        <f t="shared" ca="1" si="26"/>
        <v>65.446428571428569</v>
      </c>
      <c r="R202" s="2">
        <v>5.0149999999999997</v>
      </c>
      <c r="S202" s="2">
        <f t="shared" si="31"/>
        <v>66.89</v>
      </c>
      <c r="T202" s="2">
        <v>8</v>
      </c>
      <c r="U202" s="2">
        <v>15</v>
      </c>
      <c r="V202" s="2">
        <v>28.375</v>
      </c>
      <c r="W202" s="2">
        <f t="shared" si="27"/>
        <v>15.066519173319364</v>
      </c>
      <c r="X202" s="2">
        <v>4</v>
      </c>
      <c r="Y202" s="2">
        <f t="shared" si="28"/>
        <v>10.954451150103322</v>
      </c>
      <c r="Z202" s="2">
        <v>15.5</v>
      </c>
      <c r="AA202" s="2">
        <f t="shared" si="29"/>
        <v>11.135528725660043</v>
      </c>
      <c r="AB202" s="2">
        <f t="shared" si="30"/>
        <v>12.767145334803704</v>
      </c>
      <c r="AC202" s="2">
        <v>24.248699999999999</v>
      </c>
      <c r="AD202" s="2">
        <v>6</v>
      </c>
      <c r="AE202" s="2">
        <v>0</v>
      </c>
      <c r="AF202" s="2">
        <v>6</v>
      </c>
      <c r="AG202" s="2">
        <v>1</v>
      </c>
      <c r="AH202" s="2">
        <v>4</v>
      </c>
      <c r="AI202" t="s">
        <v>93</v>
      </c>
    </row>
    <row r="203" spans="1:35" x14ac:dyDescent="0.3">
      <c r="A203" s="2" t="s">
        <v>35</v>
      </c>
      <c r="B203" s="2" t="s">
        <v>664</v>
      </c>
      <c r="C203" s="2" t="s">
        <v>665</v>
      </c>
      <c r="D203" s="2" t="s">
        <v>51</v>
      </c>
      <c r="E203" s="2" t="s">
        <v>666</v>
      </c>
      <c r="F203" s="2">
        <v>1978</v>
      </c>
      <c r="G203" s="2">
        <v>833</v>
      </c>
      <c r="H203" s="2">
        <v>301</v>
      </c>
      <c r="I203" s="2">
        <v>238</v>
      </c>
      <c r="J203" s="2">
        <v>150</v>
      </c>
      <c r="K203" s="2">
        <v>293</v>
      </c>
      <c r="L203" s="2">
        <f t="shared" ca="1" si="24"/>
        <v>48</v>
      </c>
      <c r="M203" s="2">
        <v>55</v>
      </c>
      <c r="N203" s="2">
        <v>261</v>
      </c>
      <c r="O203" s="2">
        <v>13568</v>
      </c>
      <c r="P203" s="2">
        <f t="shared" ca="1" si="25"/>
        <v>1.1458333333333333</v>
      </c>
      <c r="Q203" s="2">
        <f t="shared" ca="1" si="26"/>
        <v>20.713785514205682</v>
      </c>
      <c r="R203" s="2">
        <v>21.4316</v>
      </c>
      <c r="S203" s="2">
        <f t="shared" si="31"/>
        <v>42.007830492196874</v>
      </c>
      <c r="T203" s="2">
        <v>55</v>
      </c>
      <c r="U203" s="2">
        <v>98</v>
      </c>
      <c r="V203" s="2">
        <v>142.0909</v>
      </c>
      <c r="W203" s="2">
        <f t="shared" si="27"/>
        <v>88.402485824777571</v>
      </c>
      <c r="X203" s="2">
        <v>12</v>
      </c>
      <c r="Y203" s="2">
        <f t="shared" si="28"/>
        <v>73.416619371910613</v>
      </c>
      <c r="Z203" s="2">
        <v>100</v>
      </c>
      <c r="AA203" s="2">
        <f t="shared" si="29"/>
        <v>74.16198487095663</v>
      </c>
      <c r="AB203" s="2">
        <f t="shared" si="30"/>
        <v>69.209822279789165</v>
      </c>
      <c r="AC203" s="2">
        <v>367.8655</v>
      </c>
      <c r="AD203" s="2">
        <v>35</v>
      </c>
      <c r="AE203" s="2">
        <v>19</v>
      </c>
      <c r="AF203" s="2">
        <v>19</v>
      </c>
      <c r="AG203" s="2">
        <v>44</v>
      </c>
      <c r="AH203" s="2">
        <v>22</v>
      </c>
      <c r="AI203" t="s">
        <v>40</v>
      </c>
    </row>
    <row r="204" spans="1:35" x14ac:dyDescent="0.3">
      <c r="A204" s="2" t="s">
        <v>35</v>
      </c>
      <c r="B204" s="2" t="s">
        <v>667</v>
      </c>
      <c r="C204" s="2" t="s">
        <v>668</v>
      </c>
      <c r="D204" s="2" t="s">
        <v>287</v>
      </c>
      <c r="E204" s="2" t="s">
        <v>669</v>
      </c>
      <c r="F204" s="2">
        <v>2022</v>
      </c>
      <c r="G204" s="2">
        <v>19</v>
      </c>
      <c r="H204" s="2">
        <v>5</v>
      </c>
      <c r="I204" s="2">
        <v>3</v>
      </c>
      <c r="J204" s="2">
        <v>1</v>
      </c>
      <c r="K204" s="2">
        <v>3</v>
      </c>
      <c r="L204" s="2">
        <f t="shared" ca="1" si="24"/>
        <v>4</v>
      </c>
      <c r="M204" s="2">
        <v>6</v>
      </c>
      <c r="N204" s="2">
        <v>4</v>
      </c>
      <c r="O204" s="2">
        <v>87</v>
      </c>
      <c r="P204" s="2">
        <f t="shared" ca="1" si="25"/>
        <v>1.5</v>
      </c>
      <c r="Q204" s="2">
        <f t="shared" ca="1" si="26"/>
        <v>44.736842105263165</v>
      </c>
      <c r="R204" s="2">
        <v>4.8391000000000002</v>
      </c>
      <c r="S204" s="2">
        <f t="shared" si="31"/>
        <v>41.681205263157899</v>
      </c>
      <c r="T204" s="2">
        <v>6</v>
      </c>
      <c r="U204" s="2">
        <v>9</v>
      </c>
      <c r="V204" s="2">
        <v>13</v>
      </c>
      <c r="W204" s="2">
        <f t="shared" si="27"/>
        <v>8.8317608663278477</v>
      </c>
      <c r="X204" s="2">
        <v>3</v>
      </c>
      <c r="Y204" s="2">
        <f t="shared" si="28"/>
        <v>7.3484692283495345</v>
      </c>
      <c r="Z204" s="2">
        <v>13</v>
      </c>
      <c r="AA204" s="2">
        <f t="shared" si="29"/>
        <v>8.8317608663278477</v>
      </c>
      <c r="AB204" s="2">
        <f t="shared" si="30"/>
        <v>6.4807406984078604</v>
      </c>
      <c r="AC204" s="2">
        <v>15.0665</v>
      </c>
      <c r="AD204" s="2">
        <v>4</v>
      </c>
      <c r="AE204" s="2">
        <v>1</v>
      </c>
      <c r="AF204" s="2">
        <v>3</v>
      </c>
      <c r="AG204" s="2">
        <v>3</v>
      </c>
      <c r="AH204" s="2">
        <v>0</v>
      </c>
      <c r="AI204" t="s">
        <v>45</v>
      </c>
    </row>
    <row r="205" spans="1:35" x14ac:dyDescent="0.3">
      <c r="A205" s="2" t="s">
        <v>35</v>
      </c>
      <c r="B205" s="2" t="s">
        <v>670</v>
      </c>
      <c r="C205" s="2" t="s">
        <v>671</v>
      </c>
      <c r="D205" s="2" t="s">
        <v>240</v>
      </c>
      <c r="E205" s="2" t="s">
        <v>672</v>
      </c>
      <c r="F205" s="2">
        <v>2004</v>
      </c>
      <c r="G205" s="2">
        <v>38</v>
      </c>
      <c r="H205" s="2">
        <v>0</v>
      </c>
      <c r="I205" s="2">
        <v>20</v>
      </c>
      <c r="J205" s="2">
        <v>17</v>
      </c>
      <c r="K205" s="2">
        <v>27</v>
      </c>
      <c r="L205" s="2">
        <f t="shared" ca="1" si="24"/>
        <v>22</v>
      </c>
      <c r="M205" s="2">
        <v>3</v>
      </c>
      <c r="N205" s="2">
        <v>1</v>
      </c>
      <c r="O205" s="2">
        <v>37</v>
      </c>
      <c r="P205" s="2">
        <f t="shared" ca="1" si="25"/>
        <v>0.13636363636363635</v>
      </c>
      <c r="Q205" s="2">
        <f t="shared" ca="1" si="26"/>
        <v>43.779904306220097</v>
      </c>
      <c r="R205" s="2">
        <v>1.1763999999999999</v>
      </c>
      <c r="S205" s="2">
        <f t="shared" si="31"/>
        <v>44.597452631578953</v>
      </c>
      <c r="T205" s="2">
        <v>3</v>
      </c>
      <c r="U205" s="2">
        <v>5</v>
      </c>
      <c r="V205" s="2">
        <v>6.6666999999999996</v>
      </c>
      <c r="W205" s="2">
        <f t="shared" si="27"/>
        <v>4.4721471353254918</v>
      </c>
      <c r="X205" s="2">
        <v>2</v>
      </c>
      <c r="Y205" s="2">
        <f t="shared" si="28"/>
        <v>3.872983346207417</v>
      </c>
      <c r="Z205" s="2">
        <v>5</v>
      </c>
      <c r="AA205" s="2">
        <f t="shared" si="29"/>
        <v>3.872983346207417</v>
      </c>
      <c r="AB205" s="2">
        <f t="shared" si="30"/>
        <v>3.3166398658883662</v>
      </c>
      <c r="AC205" s="2">
        <v>5.5678000000000001</v>
      </c>
      <c r="AD205" s="2">
        <v>2</v>
      </c>
      <c r="AE205" s="2">
        <v>1</v>
      </c>
      <c r="AF205" s="2">
        <v>3</v>
      </c>
      <c r="AG205" s="2">
        <v>0</v>
      </c>
      <c r="AH205" s="2">
        <v>2</v>
      </c>
      <c r="AI205" t="s">
        <v>45</v>
      </c>
    </row>
    <row r="206" spans="1:35" x14ac:dyDescent="0.3">
      <c r="A206" s="2" t="s">
        <v>35</v>
      </c>
      <c r="B206" s="2" t="s">
        <v>673</v>
      </c>
      <c r="C206" s="2" t="s">
        <v>674</v>
      </c>
      <c r="D206" s="2" t="s">
        <v>240</v>
      </c>
      <c r="E206" s="2" t="s">
        <v>675</v>
      </c>
      <c r="F206" s="2">
        <v>2017</v>
      </c>
      <c r="G206" s="2">
        <v>18</v>
      </c>
      <c r="H206" s="2">
        <v>3</v>
      </c>
      <c r="I206" s="2">
        <v>6</v>
      </c>
      <c r="J206" s="2">
        <v>6</v>
      </c>
      <c r="K206" s="2">
        <v>9</v>
      </c>
      <c r="L206" s="2">
        <f t="shared" ca="1" si="24"/>
        <v>9</v>
      </c>
      <c r="M206" s="2">
        <v>2</v>
      </c>
      <c r="N206" s="2">
        <v>1</v>
      </c>
      <c r="O206" s="2">
        <v>44</v>
      </c>
      <c r="P206" s="2">
        <f t="shared" ca="1" si="25"/>
        <v>0.22222222222222221</v>
      </c>
      <c r="Q206" s="2">
        <f t="shared" ca="1" si="26"/>
        <v>35.679012345679013</v>
      </c>
      <c r="R206" s="2">
        <v>3.0207999999999999</v>
      </c>
      <c r="S206" s="2">
        <f t="shared" si="31"/>
        <v>37.465244444444444</v>
      </c>
      <c r="T206" s="2">
        <v>2</v>
      </c>
      <c r="U206" s="2">
        <v>6</v>
      </c>
      <c r="V206" s="2">
        <v>19</v>
      </c>
      <c r="W206" s="2">
        <f t="shared" si="27"/>
        <v>6.164414002968976</v>
      </c>
      <c r="X206" s="2">
        <v>1</v>
      </c>
      <c r="Y206" s="2">
        <f t="shared" si="28"/>
        <v>3.4641016151377544</v>
      </c>
      <c r="Z206" s="2">
        <v>19</v>
      </c>
      <c r="AA206" s="2">
        <f t="shared" si="29"/>
        <v>6.164414002968976</v>
      </c>
      <c r="AB206" s="2">
        <f t="shared" si="30"/>
        <v>5.8309518948453007</v>
      </c>
      <c r="AC206" s="2">
        <v>6.4031000000000002</v>
      </c>
      <c r="AD206" s="2">
        <v>2</v>
      </c>
      <c r="AE206" s="2">
        <v>0</v>
      </c>
      <c r="AF206" s="2">
        <v>0</v>
      </c>
      <c r="AG206" s="2">
        <v>2</v>
      </c>
      <c r="AH206" s="2">
        <v>1</v>
      </c>
      <c r="AI206" t="s">
        <v>45</v>
      </c>
    </row>
    <row r="207" spans="1:35" x14ac:dyDescent="0.3">
      <c r="A207" s="2" t="s">
        <v>35</v>
      </c>
      <c r="B207" s="2" t="s">
        <v>676</v>
      </c>
      <c r="C207" s="2" t="s">
        <v>677</v>
      </c>
      <c r="D207" s="2" t="s">
        <v>51</v>
      </c>
      <c r="E207" s="2" t="s">
        <v>678</v>
      </c>
      <c r="F207" s="2">
        <v>1973</v>
      </c>
      <c r="G207" s="2">
        <v>31</v>
      </c>
      <c r="H207" s="2">
        <v>6</v>
      </c>
      <c r="I207" s="2">
        <v>13</v>
      </c>
      <c r="J207" s="2">
        <v>12</v>
      </c>
      <c r="K207" s="2">
        <v>23</v>
      </c>
      <c r="L207" s="2">
        <f t="shared" ca="1" si="24"/>
        <v>53</v>
      </c>
      <c r="M207" s="2">
        <v>12</v>
      </c>
      <c r="N207" s="2">
        <v>14</v>
      </c>
      <c r="O207" s="2">
        <v>969</v>
      </c>
      <c r="P207" s="2">
        <f t="shared" ca="1" si="25"/>
        <v>0.22641509433962265</v>
      </c>
      <c r="Q207" s="2">
        <f t="shared" ca="1" si="26"/>
        <v>74.601339013998768</v>
      </c>
      <c r="R207" s="2">
        <v>7.2999000000000001</v>
      </c>
      <c r="S207" s="2">
        <f t="shared" si="31"/>
        <v>81.170867741935467</v>
      </c>
      <c r="T207" s="2">
        <v>12</v>
      </c>
      <c r="U207" s="2">
        <v>31</v>
      </c>
      <c r="V207" s="2">
        <v>76.75</v>
      </c>
      <c r="W207" s="2">
        <f t="shared" si="27"/>
        <v>30.347981810987037</v>
      </c>
      <c r="X207" s="2">
        <v>6</v>
      </c>
      <c r="Y207" s="2">
        <f t="shared" si="28"/>
        <v>19.28730152198591</v>
      </c>
      <c r="Z207" s="2">
        <v>46</v>
      </c>
      <c r="AA207" s="2">
        <f t="shared" si="29"/>
        <v>23.49468024894146</v>
      </c>
      <c r="AB207" s="2">
        <f t="shared" si="30"/>
        <v>27.874719729532707</v>
      </c>
      <c r="AC207" s="2">
        <v>58.847299999999997</v>
      </c>
      <c r="AD207" s="2">
        <v>12</v>
      </c>
      <c r="AE207" s="2">
        <v>8</v>
      </c>
      <c r="AF207" s="2">
        <v>2</v>
      </c>
      <c r="AG207" s="2">
        <v>2</v>
      </c>
      <c r="AH207" s="2">
        <v>5</v>
      </c>
      <c r="AI207" t="s">
        <v>40</v>
      </c>
    </row>
    <row r="208" spans="1:35" x14ac:dyDescent="0.3">
      <c r="A208" s="2" t="s">
        <v>35</v>
      </c>
      <c r="B208" s="2" t="s">
        <v>679</v>
      </c>
      <c r="C208" s="2" t="s">
        <v>680</v>
      </c>
      <c r="D208" s="2" t="s">
        <v>43</v>
      </c>
      <c r="E208" s="2" t="s">
        <v>681</v>
      </c>
      <c r="F208" s="2">
        <v>1996</v>
      </c>
      <c r="G208" s="2">
        <v>119</v>
      </c>
      <c r="H208" s="2">
        <v>14</v>
      </c>
      <c r="I208" s="2">
        <v>75</v>
      </c>
      <c r="J208" s="2">
        <v>64</v>
      </c>
      <c r="K208" s="2">
        <v>78</v>
      </c>
      <c r="L208" s="2">
        <f t="shared" ca="1" si="24"/>
        <v>30</v>
      </c>
      <c r="M208" s="2">
        <v>15</v>
      </c>
      <c r="N208" s="2">
        <v>18</v>
      </c>
      <c r="O208" s="2">
        <v>931</v>
      </c>
      <c r="P208" s="2">
        <f t="shared" ca="1" si="25"/>
        <v>0.5</v>
      </c>
      <c r="Q208" s="2">
        <f t="shared" ca="1" si="26"/>
        <v>44.621848739495803</v>
      </c>
      <c r="R208" s="2">
        <v>9.1972000000000005</v>
      </c>
      <c r="S208" s="2">
        <f t="shared" si="31"/>
        <v>53.398880672268909</v>
      </c>
      <c r="T208" s="2">
        <v>15</v>
      </c>
      <c r="U208" s="2">
        <v>29</v>
      </c>
      <c r="V208" s="2">
        <v>49.7333</v>
      </c>
      <c r="W208" s="2">
        <f t="shared" si="27"/>
        <v>27.312991414343468</v>
      </c>
      <c r="X208" s="2">
        <v>5</v>
      </c>
      <c r="Y208" s="2">
        <f t="shared" si="28"/>
        <v>20.85665361461421</v>
      </c>
      <c r="Z208" s="2">
        <v>23</v>
      </c>
      <c r="AA208" s="2">
        <f t="shared" si="29"/>
        <v>18.574175621006709</v>
      </c>
      <c r="AB208" s="2">
        <f t="shared" si="30"/>
        <v>22.82541346832517</v>
      </c>
      <c r="AC208" s="2">
        <v>57.853299999999997</v>
      </c>
      <c r="AD208" s="2">
        <v>13</v>
      </c>
      <c r="AE208" s="2">
        <v>5</v>
      </c>
      <c r="AF208" s="2">
        <v>5</v>
      </c>
      <c r="AG208" s="2">
        <v>5</v>
      </c>
      <c r="AH208" s="2">
        <v>8</v>
      </c>
      <c r="AI208" t="s">
        <v>45</v>
      </c>
    </row>
    <row r="209" spans="1:35" x14ac:dyDescent="0.3">
      <c r="A209" s="2" t="s">
        <v>35</v>
      </c>
      <c r="B209" s="2" t="s">
        <v>682</v>
      </c>
      <c r="C209" s="2" t="s">
        <v>683</v>
      </c>
      <c r="D209" s="2" t="s">
        <v>277</v>
      </c>
      <c r="E209" s="2" t="s">
        <v>684</v>
      </c>
      <c r="F209" s="2">
        <v>1985</v>
      </c>
      <c r="G209" s="2">
        <v>114</v>
      </c>
      <c r="H209" s="2">
        <v>42</v>
      </c>
      <c r="I209" s="2">
        <v>43</v>
      </c>
      <c r="J209" s="2">
        <v>35</v>
      </c>
      <c r="K209" s="2">
        <v>48</v>
      </c>
      <c r="L209" s="2">
        <f t="shared" ca="1" si="24"/>
        <v>41</v>
      </c>
      <c r="M209" s="2">
        <v>17</v>
      </c>
      <c r="N209" s="2">
        <v>29</v>
      </c>
      <c r="O209" s="2">
        <v>1385</v>
      </c>
      <c r="P209" s="2">
        <f t="shared" ca="1" si="25"/>
        <v>0.41463414634146339</v>
      </c>
      <c r="Q209" s="2">
        <f t="shared" ca="1" si="26"/>
        <v>32.644415917843382</v>
      </c>
      <c r="R209" s="2">
        <v>10.376799999999999</v>
      </c>
      <c r="S209" s="2">
        <f t="shared" si="31"/>
        <v>42.657501754385962</v>
      </c>
      <c r="T209" s="2">
        <v>17</v>
      </c>
      <c r="U209" s="2">
        <v>35</v>
      </c>
      <c r="V209" s="2">
        <v>63.058799999999998</v>
      </c>
      <c r="W209" s="2">
        <f t="shared" si="27"/>
        <v>32.741404979017013</v>
      </c>
      <c r="X209" s="2">
        <v>6</v>
      </c>
      <c r="Y209" s="2">
        <f t="shared" si="28"/>
        <v>24.392621835300936</v>
      </c>
      <c r="Z209" s="2">
        <v>35</v>
      </c>
      <c r="AA209" s="2">
        <f t="shared" si="29"/>
        <v>24.392621835300936</v>
      </c>
      <c r="AB209" s="2">
        <f t="shared" si="30"/>
        <v>27.982130011848632</v>
      </c>
      <c r="AC209" s="2">
        <v>73.348500000000001</v>
      </c>
      <c r="AD209" s="2">
        <v>12</v>
      </c>
      <c r="AE209" s="2">
        <v>5</v>
      </c>
      <c r="AF209" s="2">
        <v>6</v>
      </c>
      <c r="AG209" s="2">
        <v>13</v>
      </c>
      <c r="AH209" s="2">
        <v>8</v>
      </c>
      <c r="AI209" t="s">
        <v>40</v>
      </c>
    </row>
    <row r="210" spans="1:35" x14ac:dyDescent="0.3">
      <c r="A210" s="2" t="s">
        <v>35</v>
      </c>
      <c r="B210" s="2" t="s">
        <v>685</v>
      </c>
      <c r="C210" s="2" t="s">
        <v>686</v>
      </c>
      <c r="D210" s="2" t="s">
        <v>227</v>
      </c>
      <c r="E210" s="2" t="s">
        <v>687</v>
      </c>
      <c r="F210" s="2">
        <v>1974</v>
      </c>
      <c r="G210" s="2">
        <v>177</v>
      </c>
      <c r="H210" s="2">
        <v>22</v>
      </c>
      <c r="I210" s="2">
        <v>64</v>
      </c>
      <c r="J210" s="2">
        <v>59</v>
      </c>
      <c r="K210" s="2">
        <v>100</v>
      </c>
      <c r="L210" s="2">
        <f t="shared" ca="1" si="24"/>
        <v>52</v>
      </c>
      <c r="M210" s="2">
        <v>24</v>
      </c>
      <c r="N210" s="2">
        <v>51</v>
      </c>
      <c r="O210" s="2">
        <v>2057</v>
      </c>
      <c r="P210" s="2">
        <f t="shared" ca="1" si="25"/>
        <v>0.46153846153846156</v>
      </c>
      <c r="Q210" s="2">
        <f t="shared" ca="1" si="26"/>
        <v>40.825727944372012</v>
      </c>
      <c r="R210" s="2">
        <v>7.9249999999999998</v>
      </c>
      <c r="S210" s="2">
        <f t="shared" si="31"/>
        <v>48.489971751412426</v>
      </c>
      <c r="T210" s="2">
        <v>24</v>
      </c>
      <c r="U210" s="2">
        <v>40</v>
      </c>
      <c r="V210" s="2">
        <v>55.208300000000001</v>
      </c>
      <c r="W210" s="2">
        <f t="shared" si="27"/>
        <v>36.400538457555818</v>
      </c>
      <c r="X210" s="2">
        <v>8</v>
      </c>
      <c r="Y210" s="2">
        <f t="shared" si="28"/>
        <v>30.983866769659336</v>
      </c>
      <c r="Z210" s="2">
        <v>33.5</v>
      </c>
      <c r="AA210" s="2">
        <f t="shared" si="29"/>
        <v>28.354893757515651</v>
      </c>
      <c r="AB210" s="2">
        <f t="shared" si="30"/>
        <v>27.367849751122208</v>
      </c>
      <c r="AC210" s="2">
        <v>105.87730000000001</v>
      </c>
      <c r="AD210" s="2">
        <v>20</v>
      </c>
      <c r="AE210" s="2">
        <v>13</v>
      </c>
      <c r="AF210" s="2">
        <v>0</v>
      </c>
      <c r="AG210" s="2">
        <v>13</v>
      </c>
      <c r="AH210" s="2">
        <v>16</v>
      </c>
      <c r="AI210" t="s">
        <v>40</v>
      </c>
    </row>
    <row r="211" spans="1:35" x14ac:dyDescent="0.3">
      <c r="A211" s="2" t="s">
        <v>35</v>
      </c>
      <c r="B211" s="2" t="s">
        <v>688</v>
      </c>
      <c r="C211" s="2" t="s">
        <v>689</v>
      </c>
      <c r="D211" s="2" t="s">
        <v>150</v>
      </c>
      <c r="E211" s="2" t="s">
        <v>690</v>
      </c>
      <c r="F211" s="2">
        <v>2010</v>
      </c>
      <c r="G211" s="2">
        <v>93</v>
      </c>
      <c r="H211" s="2">
        <v>26</v>
      </c>
      <c r="I211" s="2">
        <v>6</v>
      </c>
      <c r="J211" s="2">
        <v>47</v>
      </c>
      <c r="K211" s="2">
        <v>50</v>
      </c>
      <c r="L211" s="2">
        <f t="shared" ca="1" si="24"/>
        <v>16</v>
      </c>
      <c r="M211" s="2">
        <v>23</v>
      </c>
      <c r="N211" s="2">
        <v>39</v>
      </c>
      <c r="O211" s="2">
        <v>1219</v>
      </c>
      <c r="P211" s="2">
        <f t="shared" ca="1" si="25"/>
        <v>1.4375</v>
      </c>
      <c r="Q211" s="2">
        <f t="shared" ca="1" si="26"/>
        <v>50.362903225806448</v>
      </c>
      <c r="R211" s="2">
        <v>11.938599999999999</v>
      </c>
      <c r="S211" s="2">
        <f t="shared" si="31"/>
        <v>60.755804301075266</v>
      </c>
      <c r="T211" s="2">
        <v>23</v>
      </c>
      <c r="U211" s="2">
        <v>32</v>
      </c>
      <c r="V211" s="2">
        <v>38.695700000000002</v>
      </c>
      <c r="W211" s="2">
        <f t="shared" si="27"/>
        <v>29.832886216388786</v>
      </c>
      <c r="X211" s="2">
        <v>6</v>
      </c>
      <c r="Y211" s="2">
        <f t="shared" si="28"/>
        <v>27.129319932501073</v>
      </c>
      <c r="Z211" s="2">
        <v>36</v>
      </c>
      <c r="AA211" s="2">
        <f t="shared" si="29"/>
        <v>28.774989139876318</v>
      </c>
      <c r="AB211" s="2">
        <f t="shared" si="30"/>
        <v>19.000028947346372</v>
      </c>
      <c r="AC211" s="2">
        <v>93.4452</v>
      </c>
      <c r="AD211" s="2">
        <v>19</v>
      </c>
      <c r="AE211" s="2">
        <v>1</v>
      </c>
      <c r="AF211" s="2">
        <v>0</v>
      </c>
      <c r="AG211" s="2">
        <v>10</v>
      </c>
      <c r="AH211" s="2">
        <v>19</v>
      </c>
      <c r="AI211" t="s">
        <v>64</v>
      </c>
    </row>
    <row r="212" spans="1:35" x14ac:dyDescent="0.3">
      <c r="A212" s="2" t="s">
        <v>35</v>
      </c>
      <c r="B212" s="2" t="s">
        <v>691</v>
      </c>
      <c r="C212" s="2" t="s">
        <v>692</v>
      </c>
      <c r="D212" s="2" t="s">
        <v>55</v>
      </c>
      <c r="E212" s="2" t="s">
        <v>693</v>
      </c>
      <c r="F212" s="2">
        <v>2022</v>
      </c>
      <c r="G212" s="2">
        <v>4</v>
      </c>
      <c r="H212" s="2">
        <v>0</v>
      </c>
      <c r="I212" s="2">
        <v>0</v>
      </c>
      <c r="J212" s="2">
        <v>0</v>
      </c>
      <c r="K212" s="2">
        <v>0</v>
      </c>
      <c r="L212" s="2">
        <f t="shared" ca="1" si="24"/>
        <v>4</v>
      </c>
      <c r="M212" s="2">
        <v>1</v>
      </c>
      <c r="N212" s="2">
        <v>0</v>
      </c>
      <c r="O212" s="2">
        <v>1</v>
      </c>
      <c r="P212" s="2">
        <f t="shared" ca="1" si="25"/>
        <v>0.25</v>
      </c>
      <c r="Q212" s="2">
        <f t="shared" ca="1" si="26"/>
        <v>31.25</v>
      </c>
      <c r="R212" s="2">
        <v>0.5</v>
      </c>
      <c r="S212" s="2">
        <f t="shared" si="31"/>
        <v>25.5</v>
      </c>
      <c r="T212" s="2">
        <v>1</v>
      </c>
      <c r="U212" s="2">
        <v>1</v>
      </c>
      <c r="V212" s="2">
        <v>1</v>
      </c>
      <c r="W212" s="2">
        <f t="shared" si="27"/>
        <v>1</v>
      </c>
      <c r="X212" s="2">
        <v>1</v>
      </c>
      <c r="Y212" s="2">
        <f t="shared" si="28"/>
        <v>1</v>
      </c>
      <c r="Z212" s="2">
        <v>1</v>
      </c>
      <c r="AA212" s="2">
        <f t="shared" si="29"/>
        <v>1</v>
      </c>
      <c r="AB212" s="2">
        <f t="shared" si="30"/>
        <v>0</v>
      </c>
      <c r="AC212" s="2">
        <v>1</v>
      </c>
      <c r="AD212" s="2">
        <v>0</v>
      </c>
      <c r="AE212" s="2">
        <v>0</v>
      </c>
      <c r="AF212" s="2">
        <v>0</v>
      </c>
      <c r="AG212" s="2">
        <v>1</v>
      </c>
      <c r="AH212" s="2">
        <v>0</v>
      </c>
      <c r="AI212" t="s">
        <v>45</v>
      </c>
    </row>
    <row r="213" spans="1:35" x14ac:dyDescent="0.3">
      <c r="A213" s="2" t="s">
        <v>35</v>
      </c>
      <c r="B213" s="2" t="s">
        <v>694</v>
      </c>
      <c r="C213" s="2" t="s">
        <v>695</v>
      </c>
      <c r="D213" s="2" t="s">
        <v>43</v>
      </c>
      <c r="E213" s="2" t="s">
        <v>696</v>
      </c>
      <c r="F213" s="2">
        <v>1996</v>
      </c>
      <c r="G213" s="2">
        <v>9</v>
      </c>
      <c r="H213" s="2">
        <v>0</v>
      </c>
      <c r="I213" s="2">
        <v>8</v>
      </c>
      <c r="J213" s="2">
        <v>8</v>
      </c>
      <c r="K213" s="2">
        <v>8</v>
      </c>
      <c r="L213" s="2">
        <f t="shared" ca="1" si="24"/>
        <v>30</v>
      </c>
      <c r="M213" s="2">
        <v>1</v>
      </c>
      <c r="N213" s="2">
        <v>1</v>
      </c>
      <c r="O213" s="2">
        <v>19</v>
      </c>
      <c r="P213" s="2">
        <f t="shared" ca="1" si="25"/>
        <v>3.3333333333333333E-2</v>
      </c>
      <c r="Q213" s="2">
        <f t="shared" ca="1" si="26"/>
        <v>55.925925925925924</v>
      </c>
      <c r="R213" s="2">
        <v>0.90449999999999997</v>
      </c>
      <c r="S213" s="2">
        <f t="shared" si="31"/>
        <v>56.460055555555556</v>
      </c>
      <c r="T213" s="2">
        <v>1</v>
      </c>
      <c r="U213" s="2">
        <v>4</v>
      </c>
      <c r="V213" s="2">
        <v>18</v>
      </c>
      <c r="W213" s="2">
        <f t="shared" si="27"/>
        <v>4.2426406871192848</v>
      </c>
      <c r="X213" s="2">
        <v>1</v>
      </c>
      <c r="Y213" s="2">
        <f t="shared" si="28"/>
        <v>2</v>
      </c>
      <c r="Z213" s="2">
        <v>18</v>
      </c>
      <c r="AA213" s="2">
        <f t="shared" si="29"/>
        <v>4.2426406871192848</v>
      </c>
      <c r="AB213" s="2">
        <f t="shared" si="30"/>
        <v>4.1231056256176606</v>
      </c>
      <c r="AC213" s="2">
        <v>4.2426000000000004</v>
      </c>
      <c r="AD213" s="2">
        <v>1</v>
      </c>
      <c r="AE213" s="2">
        <v>0</v>
      </c>
      <c r="AF213" s="2">
        <v>0</v>
      </c>
      <c r="AG213" s="2">
        <v>0</v>
      </c>
      <c r="AH213" s="2">
        <v>1</v>
      </c>
      <c r="AI213" t="s">
        <v>45</v>
      </c>
    </row>
    <row r="214" spans="1:35" x14ac:dyDescent="0.3">
      <c r="A214" s="2" t="s">
        <v>35</v>
      </c>
      <c r="B214" s="2" t="s">
        <v>697</v>
      </c>
      <c r="C214" s="2" t="s">
        <v>698</v>
      </c>
      <c r="D214" s="2" t="s">
        <v>74</v>
      </c>
      <c r="E214" s="2" t="s">
        <v>699</v>
      </c>
      <c r="F214" s="2">
        <v>1978</v>
      </c>
      <c r="G214" s="2">
        <v>373</v>
      </c>
      <c r="H214" s="2">
        <v>150</v>
      </c>
      <c r="I214" s="2">
        <v>80</v>
      </c>
      <c r="J214" s="2">
        <v>53</v>
      </c>
      <c r="K214" s="2">
        <v>100</v>
      </c>
      <c r="L214" s="2">
        <f t="shared" ca="1" si="24"/>
        <v>48</v>
      </c>
      <c r="M214" s="2">
        <v>60</v>
      </c>
      <c r="N214" s="2">
        <v>183</v>
      </c>
      <c r="O214" s="2">
        <v>14189</v>
      </c>
      <c r="P214" s="2">
        <f t="shared" ca="1" si="25"/>
        <v>1.25</v>
      </c>
      <c r="Q214" s="2">
        <f t="shared" ca="1" si="26"/>
        <v>25.804289544235925</v>
      </c>
      <c r="R214" s="2">
        <v>42.144300000000001</v>
      </c>
      <c r="S214" s="2">
        <f t="shared" si="31"/>
        <v>67.613468900804293</v>
      </c>
      <c r="T214" s="2">
        <v>59</v>
      </c>
      <c r="U214" s="2">
        <v>111</v>
      </c>
      <c r="V214" s="2">
        <v>175.71190000000001</v>
      </c>
      <c r="W214" s="2">
        <f t="shared" si="27"/>
        <v>101.81847622116528</v>
      </c>
      <c r="X214" s="2">
        <v>14</v>
      </c>
      <c r="Y214" s="2">
        <f t="shared" si="28"/>
        <v>80.925892024740762</v>
      </c>
      <c r="Z214" s="2">
        <v>116</v>
      </c>
      <c r="AA214" s="2">
        <f t="shared" si="29"/>
        <v>82.728471519785742</v>
      </c>
      <c r="AB214" s="2">
        <f t="shared" si="30"/>
        <v>82.981938396255856</v>
      </c>
      <c r="AC214" s="2">
        <v>432.47770000000003</v>
      </c>
      <c r="AD214" s="2">
        <v>35</v>
      </c>
      <c r="AE214" s="2">
        <v>18</v>
      </c>
      <c r="AF214" s="2">
        <v>18</v>
      </c>
      <c r="AG214" s="2">
        <v>47</v>
      </c>
      <c r="AH214" s="2">
        <v>13</v>
      </c>
      <c r="AI214" t="s">
        <v>45</v>
      </c>
    </row>
    <row r="215" spans="1:35" x14ac:dyDescent="0.3">
      <c r="A215" s="2" t="s">
        <v>35</v>
      </c>
      <c r="B215" s="2" t="s">
        <v>700</v>
      </c>
      <c r="C215" s="2" t="s">
        <v>701</v>
      </c>
      <c r="D215" s="2" t="s">
        <v>128</v>
      </c>
      <c r="E215" s="2" t="s">
        <v>702</v>
      </c>
      <c r="F215" s="2">
        <v>2012</v>
      </c>
      <c r="G215" s="2">
        <v>49</v>
      </c>
      <c r="H215" s="2">
        <v>12</v>
      </c>
      <c r="I215" s="2">
        <v>11</v>
      </c>
      <c r="J215" s="2">
        <v>17</v>
      </c>
      <c r="K215" s="2">
        <v>23</v>
      </c>
      <c r="L215" s="2">
        <f t="shared" ca="1" si="24"/>
        <v>14</v>
      </c>
      <c r="M215" s="2">
        <v>16</v>
      </c>
      <c r="N215" s="2">
        <v>18</v>
      </c>
      <c r="O215" s="2">
        <v>669</v>
      </c>
      <c r="P215" s="2">
        <f t="shared" ca="1" si="25"/>
        <v>1.1428571428571428</v>
      </c>
      <c r="Q215" s="2">
        <f t="shared" ca="1" si="26"/>
        <v>56.005830903790091</v>
      </c>
      <c r="R215" s="2">
        <v>8.7585999999999995</v>
      </c>
      <c r="S215" s="2">
        <f t="shared" si="31"/>
        <v>62.432069387755107</v>
      </c>
      <c r="T215" s="2">
        <v>16</v>
      </c>
      <c r="U215" s="2">
        <v>25</v>
      </c>
      <c r="V215" s="2">
        <v>37.1875</v>
      </c>
      <c r="W215" s="2">
        <f t="shared" si="27"/>
        <v>24.392621835300936</v>
      </c>
      <c r="X215" s="2">
        <v>5</v>
      </c>
      <c r="Y215" s="2">
        <f t="shared" si="28"/>
        <v>20</v>
      </c>
      <c r="Z215" s="2">
        <v>25.5</v>
      </c>
      <c r="AA215" s="2">
        <f t="shared" si="29"/>
        <v>20.199009876724155</v>
      </c>
      <c r="AB215" s="2">
        <f t="shared" si="30"/>
        <v>18.411952639521967</v>
      </c>
      <c r="AC215" s="2">
        <v>58.0259</v>
      </c>
      <c r="AD215" s="2">
        <v>13</v>
      </c>
      <c r="AE215" s="2">
        <v>2</v>
      </c>
      <c r="AF215" s="2">
        <v>2</v>
      </c>
      <c r="AG215" s="2">
        <v>6</v>
      </c>
      <c r="AH215" s="2">
        <v>11</v>
      </c>
      <c r="AI215" t="s">
        <v>45</v>
      </c>
    </row>
    <row r="216" spans="1:35" x14ac:dyDescent="0.3">
      <c r="A216" s="2" t="s">
        <v>35</v>
      </c>
      <c r="B216" s="2" t="s">
        <v>703</v>
      </c>
      <c r="C216" s="2" t="s">
        <v>704</v>
      </c>
      <c r="D216" s="2" t="s">
        <v>43</v>
      </c>
      <c r="E216" s="2" t="s">
        <v>705</v>
      </c>
      <c r="F216" s="2">
        <v>2020</v>
      </c>
      <c r="G216" s="2">
        <v>2</v>
      </c>
      <c r="H216" s="2">
        <v>0</v>
      </c>
      <c r="I216" s="2">
        <v>1</v>
      </c>
      <c r="J216" s="2">
        <v>0</v>
      </c>
      <c r="K216" s="2">
        <v>1</v>
      </c>
      <c r="L216" s="2">
        <f t="shared" ca="1" si="24"/>
        <v>6</v>
      </c>
      <c r="M216" s="2">
        <v>2</v>
      </c>
      <c r="N216" s="2">
        <v>0</v>
      </c>
      <c r="O216" s="2">
        <v>6</v>
      </c>
      <c r="P216" s="2">
        <f t="shared" ca="1" si="25"/>
        <v>0.33333333333333331</v>
      </c>
      <c r="Q216" s="2">
        <f t="shared" ca="1" si="26"/>
        <v>141.66666666666669</v>
      </c>
      <c r="R216" s="2">
        <v>1.0855999999999999</v>
      </c>
      <c r="S216" s="2">
        <f t="shared" si="31"/>
        <v>126.0856</v>
      </c>
      <c r="T216" s="2">
        <v>2</v>
      </c>
      <c r="U216" s="2">
        <v>2</v>
      </c>
      <c r="V216" s="2">
        <v>3</v>
      </c>
      <c r="W216" s="2">
        <f t="shared" si="27"/>
        <v>2.4494897427831779</v>
      </c>
      <c r="X216" s="2">
        <v>1</v>
      </c>
      <c r="Y216" s="2">
        <f t="shared" si="28"/>
        <v>2</v>
      </c>
      <c r="Z216" s="2">
        <v>3</v>
      </c>
      <c r="AA216" s="2">
        <f t="shared" si="29"/>
        <v>2.4494897427831779</v>
      </c>
      <c r="AB216" s="2">
        <f t="shared" si="30"/>
        <v>1.4142135623730951</v>
      </c>
      <c r="AC216" s="2">
        <v>3</v>
      </c>
      <c r="AD216" s="2">
        <v>1</v>
      </c>
      <c r="AE216" s="2">
        <v>1</v>
      </c>
      <c r="AF216" s="2">
        <v>1</v>
      </c>
      <c r="AG216" s="2">
        <v>0</v>
      </c>
      <c r="AH216" s="2">
        <v>0</v>
      </c>
      <c r="AI216" t="s">
        <v>45</v>
      </c>
    </row>
    <row r="217" spans="1:35" x14ac:dyDescent="0.3">
      <c r="A217" s="2" t="s">
        <v>35</v>
      </c>
      <c r="B217" s="2" t="s">
        <v>706</v>
      </c>
      <c r="C217" s="2" t="s">
        <v>707</v>
      </c>
      <c r="D217" s="2" t="s">
        <v>38</v>
      </c>
      <c r="E217" s="2" t="s">
        <v>708</v>
      </c>
      <c r="F217" s="2">
        <v>1917</v>
      </c>
      <c r="G217" s="2">
        <v>274</v>
      </c>
      <c r="H217" s="2">
        <v>31</v>
      </c>
      <c r="I217" s="2">
        <v>73</v>
      </c>
      <c r="J217" s="2">
        <v>94</v>
      </c>
      <c r="K217" s="2">
        <v>130</v>
      </c>
      <c r="L217" s="2">
        <f t="shared" ca="1" si="24"/>
        <v>109</v>
      </c>
      <c r="M217" s="2">
        <v>49</v>
      </c>
      <c r="N217" s="2">
        <v>112</v>
      </c>
      <c r="O217" s="2">
        <v>6308</v>
      </c>
      <c r="P217" s="2">
        <f t="shared" ca="1" si="25"/>
        <v>0.44954128440366975</v>
      </c>
      <c r="Q217" s="2">
        <f t="shared" ca="1" si="26"/>
        <v>40.638518716935643</v>
      </c>
      <c r="R217" s="2">
        <v>20.831</v>
      </c>
      <c r="S217" s="2">
        <f t="shared" si="31"/>
        <v>61.305452554744534</v>
      </c>
      <c r="T217" s="2">
        <v>49</v>
      </c>
      <c r="U217" s="2">
        <v>72</v>
      </c>
      <c r="V217" s="2">
        <v>91.795900000000003</v>
      </c>
      <c r="W217" s="2">
        <f t="shared" si="27"/>
        <v>67.06712383873338</v>
      </c>
      <c r="X217" s="2">
        <v>10</v>
      </c>
      <c r="Y217" s="2">
        <f t="shared" si="28"/>
        <v>59.396969619669989</v>
      </c>
      <c r="Z217" s="2">
        <v>77</v>
      </c>
      <c r="AA217" s="2">
        <f t="shared" si="29"/>
        <v>61.424750711744856</v>
      </c>
      <c r="AB217" s="2">
        <f t="shared" si="30"/>
        <v>45.793002740593458</v>
      </c>
      <c r="AC217" s="2">
        <v>294.03059999999999</v>
      </c>
      <c r="AD217" s="2">
        <v>44</v>
      </c>
      <c r="AE217" s="2">
        <v>10</v>
      </c>
      <c r="AF217" s="2">
        <v>11</v>
      </c>
      <c r="AG217" s="2">
        <v>15</v>
      </c>
      <c r="AH217" s="2">
        <v>42</v>
      </c>
      <c r="AI217" t="s">
        <v>40</v>
      </c>
    </row>
    <row r="218" spans="1:35" x14ac:dyDescent="0.3">
      <c r="A218" s="2" t="s">
        <v>35</v>
      </c>
      <c r="B218" s="2" t="s">
        <v>709</v>
      </c>
      <c r="C218" s="2" t="s">
        <v>710</v>
      </c>
      <c r="D218" s="2" t="s">
        <v>38</v>
      </c>
      <c r="E218" s="2" t="s">
        <v>711</v>
      </c>
      <c r="F218" s="2">
        <v>2012</v>
      </c>
      <c r="G218" s="2">
        <v>12</v>
      </c>
      <c r="H218" s="2">
        <v>1</v>
      </c>
      <c r="I218" s="2">
        <v>8</v>
      </c>
      <c r="J218" s="2">
        <v>2</v>
      </c>
      <c r="K218" s="2">
        <v>8</v>
      </c>
      <c r="L218" s="2">
        <f t="shared" ca="1" si="24"/>
        <v>14</v>
      </c>
      <c r="M218" s="2">
        <v>2</v>
      </c>
      <c r="N218" s="2">
        <v>1</v>
      </c>
      <c r="O218" s="2">
        <v>19</v>
      </c>
      <c r="P218" s="2">
        <f t="shared" ca="1" si="25"/>
        <v>0.14285714285714285</v>
      </c>
      <c r="Q218" s="2">
        <f t="shared" ca="1" si="26"/>
        <v>50.357142857142868</v>
      </c>
      <c r="R218" s="2">
        <v>1.0437000000000001</v>
      </c>
      <c r="S218" s="2">
        <f t="shared" si="31"/>
        <v>50.210366666666673</v>
      </c>
      <c r="T218" s="2">
        <v>2</v>
      </c>
      <c r="U218" s="2">
        <v>4</v>
      </c>
      <c r="V218" s="2">
        <v>6.5</v>
      </c>
      <c r="W218" s="2">
        <f t="shared" si="27"/>
        <v>3.6055512754639891</v>
      </c>
      <c r="X218" s="2">
        <v>1</v>
      </c>
      <c r="Y218" s="2">
        <f t="shared" si="28"/>
        <v>2.8284271247461903</v>
      </c>
      <c r="Z218" s="2">
        <v>6.5</v>
      </c>
      <c r="AA218" s="2">
        <f t="shared" si="29"/>
        <v>3.6055512754639891</v>
      </c>
      <c r="AB218" s="2">
        <f t="shared" si="30"/>
        <v>3</v>
      </c>
      <c r="AC218" s="2">
        <v>4</v>
      </c>
      <c r="AD218" s="2">
        <v>1</v>
      </c>
      <c r="AE218" s="2">
        <v>2</v>
      </c>
      <c r="AF218" s="2">
        <v>2</v>
      </c>
      <c r="AG218" s="2">
        <v>0</v>
      </c>
      <c r="AH218" s="2">
        <v>0</v>
      </c>
      <c r="AI218" t="s">
        <v>40</v>
      </c>
    </row>
    <row r="219" spans="1:35" x14ac:dyDescent="0.3">
      <c r="A219" s="2" t="s">
        <v>35</v>
      </c>
      <c r="B219" s="2" t="s">
        <v>712</v>
      </c>
      <c r="C219" s="2" t="s">
        <v>713</v>
      </c>
      <c r="D219" s="2" t="s">
        <v>74</v>
      </c>
      <c r="E219" s="2" t="s">
        <v>714</v>
      </c>
      <c r="F219" s="2">
        <v>2015</v>
      </c>
      <c r="G219" s="2">
        <v>44</v>
      </c>
      <c r="H219" s="2">
        <v>10</v>
      </c>
      <c r="I219" s="2">
        <v>18</v>
      </c>
      <c r="J219" s="2">
        <v>16</v>
      </c>
      <c r="K219" s="2">
        <v>22</v>
      </c>
      <c r="L219" s="2">
        <f t="shared" ca="1" si="24"/>
        <v>11</v>
      </c>
      <c r="M219" s="2">
        <v>10</v>
      </c>
      <c r="N219" s="2">
        <v>10</v>
      </c>
      <c r="O219" s="2">
        <v>328</v>
      </c>
      <c r="P219" s="2">
        <f t="shared" ca="1" si="25"/>
        <v>0.90909090909090906</v>
      </c>
      <c r="Q219" s="2">
        <f t="shared" ca="1" si="26"/>
        <v>47.520661157024797</v>
      </c>
      <c r="R219" s="2">
        <v>10.327999999999999</v>
      </c>
      <c r="S219" s="2">
        <f t="shared" si="31"/>
        <v>55.782545454545456</v>
      </c>
      <c r="T219" s="2">
        <v>15</v>
      </c>
      <c r="U219" s="2">
        <v>24</v>
      </c>
      <c r="V219" s="2">
        <v>33.533299999999997</v>
      </c>
      <c r="W219" s="2">
        <f t="shared" si="27"/>
        <v>22.42765034505398</v>
      </c>
      <c r="X219" s="2">
        <v>6</v>
      </c>
      <c r="Y219" s="2">
        <f t="shared" si="28"/>
        <v>18.973665961010276</v>
      </c>
      <c r="Z219" s="2">
        <v>29</v>
      </c>
      <c r="AA219" s="2">
        <f t="shared" si="29"/>
        <v>20.85665361461421</v>
      </c>
      <c r="AB219" s="2">
        <f t="shared" si="30"/>
        <v>16.673317006522726</v>
      </c>
      <c r="AC219" s="2">
        <v>55.650700000000001</v>
      </c>
      <c r="AD219" s="2">
        <v>12</v>
      </c>
      <c r="AE219" s="2">
        <v>6</v>
      </c>
      <c r="AF219" s="2">
        <v>4</v>
      </c>
      <c r="AG219" s="2">
        <v>7</v>
      </c>
      <c r="AH219" s="2">
        <v>10</v>
      </c>
      <c r="AI219" t="s">
        <v>45</v>
      </c>
    </row>
    <row r="220" spans="1:35" x14ac:dyDescent="0.3">
      <c r="A220" s="2" t="s">
        <v>35</v>
      </c>
      <c r="B220" s="2" t="s">
        <v>715</v>
      </c>
      <c r="C220" s="2" t="s">
        <v>716</v>
      </c>
      <c r="D220" s="2" t="s">
        <v>150</v>
      </c>
      <c r="E220" s="2" t="s">
        <v>717</v>
      </c>
      <c r="F220" s="2">
        <v>1990</v>
      </c>
      <c r="G220" s="2">
        <v>107</v>
      </c>
      <c r="H220" s="2">
        <v>29</v>
      </c>
      <c r="I220" s="2">
        <v>30</v>
      </c>
      <c r="J220" s="2">
        <v>49</v>
      </c>
      <c r="K220" s="2">
        <v>70</v>
      </c>
      <c r="L220" s="2">
        <f t="shared" ca="1" si="24"/>
        <v>36</v>
      </c>
      <c r="M220" s="2">
        <v>21</v>
      </c>
      <c r="N220" s="2">
        <v>41</v>
      </c>
      <c r="O220" s="2">
        <v>1525</v>
      </c>
      <c r="P220" s="2">
        <f t="shared" ca="1" si="25"/>
        <v>0.58333333333333337</v>
      </c>
      <c r="Q220" s="2">
        <f t="shared" ca="1" si="26"/>
        <v>50.171339563862929</v>
      </c>
      <c r="R220" s="2">
        <v>10.1014</v>
      </c>
      <c r="S220" s="2">
        <f t="shared" si="31"/>
        <v>59.727568224299063</v>
      </c>
      <c r="T220" s="2">
        <v>21</v>
      </c>
      <c r="U220" s="2">
        <v>36</v>
      </c>
      <c r="V220" s="2">
        <v>53.666699999999999</v>
      </c>
      <c r="W220" s="2">
        <f t="shared" si="27"/>
        <v>33.570831088908122</v>
      </c>
      <c r="X220" s="2">
        <v>6</v>
      </c>
      <c r="Y220" s="2">
        <f t="shared" si="28"/>
        <v>27.495454169735041</v>
      </c>
      <c r="Z220" s="2">
        <v>37</v>
      </c>
      <c r="AA220" s="2">
        <f t="shared" si="29"/>
        <v>27.874719729532707</v>
      </c>
      <c r="AB220" s="2">
        <f t="shared" si="30"/>
        <v>26.191615070476278</v>
      </c>
      <c r="AC220" s="2">
        <v>88.943799999999996</v>
      </c>
      <c r="AD220" s="2">
        <v>17</v>
      </c>
      <c r="AE220" s="2">
        <v>9</v>
      </c>
      <c r="AF220" s="2">
        <v>6</v>
      </c>
      <c r="AG220" s="2">
        <v>9</v>
      </c>
      <c r="AH220" s="2">
        <v>13</v>
      </c>
      <c r="AI220" t="s">
        <v>64</v>
      </c>
    </row>
    <row r="221" spans="1:35" x14ac:dyDescent="0.3">
      <c r="A221" s="2" t="s">
        <v>35</v>
      </c>
      <c r="B221" s="2" t="s">
        <v>718</v>
      </c>
      <c r="C221" s="2" t="s">
        <v>719</v>
      </c>
      <c r="D221" s="2" t="s">
        <v>51</v>
      </c>
      <c r="E221" s="2" t="s">
        <v>720</v>
      </c>
      <c r="F221" s="2">
        <v>2004</v>
      </c>
      <c r="G221" s="2">
        <v>18</v>
      </c>
      <c r="H221" s="2">
        <v>3</v>
      </c>
      <c r="I221" s="2">
        <v>6</v>
      </c>
      <c r="J221" s="2">
        <v>4</v>
      </c>
      <c r="K221" s="2">
        <v>6</v>
      </c>
      <c r="L221" s="2">
        <f t="shared" ca="1" si="24"/>
        <v>22</v>
      </c>
      <c r="M221" s="2">
        <v>2</v>
      </c>
      <c r="N221" s="2">
        <v>2</v>
      </c>
      <c r="O221" s="2">
        <v>114</v>
      </c>
      <c r="P221" s="2">
        <f t="shared" ca="1" si="25"/>
        <v>9.0909090909090912E-2</v>
      </c>
      <c r="Q221" s="2">
        <f t="shared" ca="1" si="26"/>
        <v>26.616161616161616</v>
      </c>
      <c r="R221" s="2">
        <v>2.2467000000000001</v>
      </c>
      <c r="S221" s="2">
        <f t="shared" si="31"/>
        <v>28.357811111111111</v>
      </c>
      <c r="T221" s="2">
        <v>2</v>
      </c>
      <c r="U221" s="2">
        <v>10</v>
      </c>
      <c r="V221" s="2">
        <v>56</v>
      </c>
      <c r="W221" s="2">
        <f t="shared" si="27"/>
        <v>10.583005244258363</v>
      </c>
      <c r="X221" s="2">
        <v>2</v>
      </c>
      <c r="Y221" s="2">
        <f t="shared" si="28"/>
        <v>4.4721359549995796</v>
      </c>
      <c r="Z221" s="2">
        <v>56</v>
      </c>
      <c r="AA221" s="2">
        <f t="shared" si="29"/>
        <v>10.583005244258363</v>
      </c>
      <c r="AB221" s="2">
        <f t="shared" si="30"/>
        <v>10.392304845413264</v>
      </c>
      <c r="AC221" s="2">
        <v>12.4499</v>
      </c>
      <c r="AD221" s="2">
        <v>2</v>
      </c>
      <c r="AE221" s="2">
        <v>0</v>
      </c>
      <c r="AF221" s="2">
        <v>0</v>
      </c>
      <c r="AG221" s="2">
        <v>2</v>
      </c>
      <c r="AH221" s="2">
        <v>1</v>
      </c>
      <c r="AI221" t="s">
        <v>40</v>
      </c>
    </row>
    <row r="222" spans="1:35" x14ac:dyDescent="0.3">
      <c r="A222" s="2" t="s">
        <v>35</v>
      </c>
      <c r="B222" s="2" t="s">
        <v>721</v>
      </c>
      <c r="C222" s="2" t="s">
        <v>722</v>
      </c>
      <c r="D222" s="2" t="s">
        <v>99</v>
      </c>
      <c r="E222" s="2" t="s">
        <v>723</v>
      </c>
      <c r="F222" s="2">
        <v>2009</v>
      </c>
      <c r="G222" s="2">
        <v>92</v>
      </c>
      <c r="H222" s="2">
        <v>50</v>
      </c>
      <c r="I222" s="2">
        <v>12</v>
      </c>
      <c r="J222" s="2">
        <v>20</v>
      </c>
      <c r="K222" s="2">
        <v>32</v>
      </c>
      <c r="L222" s="2">
        <f t="shared" ca="1" si="24"/>
        <v>17</v>
      </c>
      <c r="M222" s="2">
        <v>35</v>
      </c>
      <c r="N222" s="2">
        <v>59</v>
      </c>
      <c r="O222" s="2">
        <v>3402</v>
      </c>
      <c r="P222" s="2">
        <f t="shared" ca="1" si="25"/>
        <v>2.0588235294117645</v>
      </c>
      <c r="Q222" s="2">
        <f t="shared" ca="1" si="26"/>
        <v>52.23785166240409</v>
      </c>
      <c r="R222" s="2">
        <v>17.6313</v>
      </c>
      <c r="S222" s="2">
        <f t="shared" si="31"/>
        <v>67.631299999999996</v>
      </c>
      <c r="T222" s="2">
        <v>35</v>
      </c>
      <c r="U222" s="2">
        <v>57</v>
      </c>
      <c r="V222" s="2">
        <v>82.6</v>
      </c>
      <c r="W222" s="2">
        <f t="shared" si="27"/>
        <v>53.768020235080257</v>
      </c>
      <c r="X222" s="2">
        <v>9</v>
      </c>
      <c r="Y222" s="2">
        <f t="shared" si="28"/>
        <v>44.665422868254588</v>
      </c>
      <c r="Z222" s="2">
        <v>71</v>
      </c>
      <c r="AA222" s="2">
        <f t="shared" si="29"/>
        <v>49.849774322458067</v>
      </c>
      <c r="AB222" s="2">
        <f t="shared" si="30"/>
        <v>40.8166632639171</v>
      </c>
      <c r="AC222" s="2">
        <v>191.5959</v>
      </c>
      <c r="AD222" s="2">
        <v>23</v>
      </c>
      <c r="AE222" s="2">
        <v>9</v>
      </c>
      <c r="AF222" s="2">
        <v>10</v>
      </c>
      <c r="AG222" s="2">
        <v>19</v>
      </c>
      <c r="AH222" s="2">
        <v>11</v>
      </c>
      <c r="AI222" t="s">
        <v>45</v>
      </c>
    </row>
    <row r="223" spans="1:35" x14ac:dyDescent="0.3">
      <c r="A223" s="2" t="s">
        <v>35</v>
      </c>
      <c r="B223" s="2" t="s">
        <v>724</v>
      </c>
      <c r="C223" s="2" t="s">
        <v>725</v>
      </c>
      <c r="D223" s="2" t="s">
        <v>38</v>
      </c>
      <c r="E223" s="2" t="s">
        <v>726</v>
      </c>
      <c r="F223" s="2">
        <v>2012</v>
      </c>
      <c r="G223" s="2">
        <v>7</v>
      </c>
      <c r="H223" s="2">
        <v>0</v>
      </c>
      <c r="I223" s="2">
        <v>7</v>
      </c>
      <c r="J223" s="2">
        <v>7</v>
      </c>
      <c r="K223" s="2">
        <v>7</v>
      </c>
      <c r="L223" s="2">
        <f t="shared" ca="1" si="24"/>
        <v>14</v>
      </c>
      <c r="M223" s="2">
        <v>2</v>
      </c>
      <c r="N223" s="2">
        <v>0</v>
      </c>
      <c r="O223" s="2">
        <v>8</v>
      </c>
      <c r="P223" s="2">
        <f t="shared" ca="1" si="25"/>
        <v>0.14285714285714285</v>
      </c>
      <c r="Q223" s="2">
        <f t="shared" ca="1" si="26"/>
        <v>80.612244897959187</v>
      </c>
      <c r="R223" s="2">
        <v>1.1726000000000001</v>
      </c>
      <c r="S223" s="2">
        <f t="shared" si="31"/>
        <v>79.744028571428572</v>
      </c>
      <c r="T223" s="2">
        <v>2</v>
      </c>
      <c r="U223" s="2">
        <v>2</v>
      </c>
      <c r="V223" s="2">
        <v>3</v>
      </c>
      <c r="W223" s="2">
        <f t="shared" si="27"/>
        <v>2.4494897427831779</v>
      </c>
      <c r="X223" s="2">
        <v>1</v>
      </c>
      <c r="Y223" s="2">
        <f t="shared" si="28"/>
        <v>2</v>
      </c>
      <c r="Z223" s="2">
        <v>3</v>
      </c>
      <c r="AA223" s="2">
        <f t="shared" si="29"/>
        <v>2.4494897427831779</v>
      </c>
      <c r="AB223" s="2">
        <f t="shared" si="30"/>
        <v>1.4142135623730951</v>
      </c>
      <c r="AC223" s="2">
        <v>3</v>
      </c>
      <c r="AD223" s="2">
        <v>2</v>
      </c>
      <c r="AE223" s="2">
        <v>0</v>
      </c>
      <c r="AF223" s="2">
        <v>0</v>
      </c>
      <c r="AG223" s="2">
        <v>0</v>
      </c>
      <c r="AH223" s="2">
        <v>2</v>
      </c>
      <c r="AI223" t="s">
        <v>40</v>
      </c>
    </row>
    <row r="224" spans="1:35" x14ac:dyDescent="0.3">
      <c r="A224" s="2" t="s">
        <v>35</v>
      </c>
      <c r="B224" s="2" t="s">
        <v>727</v>
      </c>
      <c r="C224" s="2" t="s">
        <v>728</v>
      </c>
      <c r="D224" s="2" t="s">
        <v>38</v>
      </c>
      <c r="E224" s="2" t="s">
        <v>729</v>
      </c>
      <c r="F224" s="2">
        <v>1972</v>
      </c>
      <c r="G224" s="2">
        <v>83</v>
      </c>
      <c r="H224" s="2">
        <v>10</v>
      </c>
      <c r="I224" s="2">
        <v>11</v>
      </c>
      <c r="J224" s="2">
        <v>25</v>
      </c>
      <c r="K224" s="2">
        <v>33</v>
      </c>
      <c r="L224" s="2">
        <f t="shared" ca="1" si="24"/>
        <v>54</v>
      </c>
      <c r="M224" s="2">
        <v>23</v>
      </c>
      <c r="N224" s="2">
        <v>36</v>
      </c>
      <c r="O224" s="2">
        <v>1623</v>
      </c>
      <c r="P224" s="2">
        <f t="shared" ca="1" si="25"/>
        <v>0.42592592592592593</v>
      </c>
      <c r="Q224" s="2">
        <f t="shared" ca="1" si="26"/>
        <v>46.898705934850511</v>
      </c>
      <c r="R224" s="2">
        <v>12.0671</v>
      </c>
      <c r="S224" s="2">
        <f t="shared" si="31"/>
        <v>58.4526421686747</v>
      </c>
      <c r="T224" s="2">
        <v>23</v>
      </c>
      <c r="U224" s="2">
        <v>39</v>
      </c>
      <c r="V224" s="2">
        <v>56.217399999999998</v>
      </c>
      <c r="W224" s="2">
        <f t="shared" si="27"/>
        <v>35.958311973728691</v>
      </c>
      <c r="X224" s="2">
        <v>8</v>
      </c>
      <c r="Y224" s="2">
        <f t="shared" si="28"/>
        <v>29.949958263743873</v>
      </c>
      <c r="Z224" s="2">
        <v>42</v>
      </c>
      <c r="AA224" s="2">
        <f t="shared" si="29"/>
        <v>31.080540535840107</v>
      </c>
      <c r="AB224" s="2">
        <f t="shared" si="30"/>
        <v>27.640553540043296</v>
      </c>
      <c r="AC224" s="2">
        <v>104.61839999999999</v>
      </c>
      <c r="AD224" s="2">
        <v>15</v>
      </c>
      <c r="AE224" s="2">
        <v>3</v>
      </c>
      <c r="AF224" s="2">
        <v>10</v>
      </c>
      <c r="AG224" s="2">
        <v>13</v>
      </c>
      <c r="AH224" s="2">
        <v>12</v>
      </c>
      <c r="AI224" t="s">
        <v>40</v>
      </c>
    </row>
    <row r="225" spans="1:35" x14ac:dyDescent="0.3">
      <c r="A225" s="2" t="s">
        <v>35</v>
      </c>
      <c r="B225" s="2" t="s">
        <v>730</v>
      </c>
      <c r="C225" s="2" t="s">
        <v>731</v>
      </c>
      <c r="D225" s="2" t="s">
        <v>55</v>
      </c>
      <c r="E225" s="2" t="s">
        <v>732</v>
      </c>
      <c r="F225" s="2">
        <v>2015</v>
      </c>
      <c r="G225" s="2">
        <v>12</v>
      </c>
      <c r="H225" s="2">
        <v>0</v>
      </c>
      <c r="I225" s="2">
        <v>12</v>
      </c>
      <c r="J225" s="2">
        <v>12</v>
      </c>
      <c r="K225" s="2">
        <v>12</v>
      </c>
      <c r="L225" s="2">
        <f t="shared" ca="1" si="24"/>
        <v>11</v>
      </c>
      <c r="M225" s="2">
        <v>2</v>
      </c>
      <c r="N225" s="2">
        <v>0</v>
      </c>
      <c r="O225" s="2">
        <v>11</v>
      </c>
      <c r="P225" s="2">
        <f t="shared" ca="1" si="25"/>
        <v>0.18181818181818182</v>
      </c>
      <c r="Q225" s="2">
        <f t="shared" ca="1" si="26"/>
        <v>68.181818181818187</v>
      </c>
      <c r="R225" s="2">
        <v>0.97589999999999999</v>
      </c>
      <c r="S225" s="2">
        <f t="shared" si="31"/>
        <v>67.642566666666667</v>
      </c>
      <c r="T225" s="2">
        <v>2</v>
      </c>
      <c r="U225" s="2">
        <v>3</v>
      </c>
      <c r="V225" s="2">
        <v>5</v>
      </c>
      <c r="W225" s="2">
        <f t="shared" si="27"/>
        <v>3.1622776601683795</v>
      </c>
      <c r="X225" s="2">
        <v>1</v>
      </c>
      <c r="Y225" s="2">
        <f t="shared" si="28"/>
        <v>2.4494897427831779</v>
      </c>
      <c r="Z225" s="2">
        <v>5</v>
      </c>
      <c r="AA225" s="2">
        <f t="shared" si="29"/>
        <v>3.1622776601683795</v>
      </c>
      <c r="AB225" s="2">
        <f t="shared" si="30"/>
        <v>2.4494897427831779</v>
      </c>
      <c r="AC225" s="2">
        <v>3.4641000000000002</v>
      </c>
      <c r="AD225" s="2">
        <v>2</v>
      </c>
      <c r="AE225" s="2">
        <v>0</v>
      </c>
      <c r="AF225" s="2">
        <v>0</v>
      </c>
      <c r="AG225" s="2">
        <v>0</v>
      </c>
      <c r="AH225" s="2">
        <v>2</v>
      </c>
      <c r="AI225" t="s">
        <v>45</v>
      </c>
    </row>
    <row r="226" spans="1:35" x14ac:dyDescent="0.3">
      <c r="A226" s="2" t="s">
        <v>35</v>
      </c>
      <c r="B226" s="2" t="s">
        <v>733</v>
      </c>
      <c r="C226" s="2" t="s">
        <v>734</v>
      </c>
      <c r="D226" s="2" t="s">
        <v>55</v>
      </c>
      <c r="E226" s="2" t="s">
        <v>735</v>
      </c>
      <c r="F226" s="2">
        <v>2005</v>
      </c>
      <c r="G226" s="2">
        <v>17</v>
      </c>
      <c r="H226" s="2">
        <v>0</v>
      </c>
      <c r="I226" s="2">
        <v>15</v>
      </c>
      <c r="J226" s="2">
        <v>14</v>
      </c>
      <c r="K226" s="2">
        <v>15</v>
      </c>
      <c r="L226" s="2">
        <f t="shared" ca="1" si="24"/>
        <v>21</v>
      </c>
      <c r="M226" s="2">
        <v>7</v>
      </c>
      <c r="N226" s="2">
        <v>6</v>
      </c>
      <c r="O226" s="2">
        <v>146</v>
      </c>
      <c r="P226" s="2">
        <f t="shared" ca="1" si="25"/>
        <v>0.33333333333333331</v>
      </c>
      <c r="Q226" s="2">
        <f t="shared" ca="1" si="26"/>
        <v>87.254901960784323</v>
      </c>
      <c r="R226" s="2">
        <v>3.2336999999999998</v>
      </c>
      <c r="S226" s="2">
        <f t="shared" si="31"/>
        <v>88.527817647058825</v>
      </c>
      <c r="T226" s="2">
        <v>7</v>
      </c>
      <c r="U226" s="2">
        <v>12</v>
      </c>
      <c r="V226" s="2">
        <v>19.428599999999999</v>
      </c>
      <c r="W226" s="2">
        <f t="shared" si="27"/>
        <v>11.661912364616706</v>
      </c>
      <c r="X226" s="2">
        <v>3</v>
      </c>
      <c r="Y226" s="2">
        <f t="shared" si="28"/>
        <v>9.1651513899116797</v>
      </c>
      <c r="Z226" s="2">
        <v>15</v>
      </c>
      <c r="AA226" s="2">
        <f t="shared" si="29"/>
        <v>10.246950765959598</v>
      </c>
      <c r="AB226" s="2">
        <f t="shared" si="30"/>
        <v>9.3273897742080027</v>
      </c>
      <c r="AC226" s="2">
        <v>20.199000000000002</v>
      </c>
      <c r="AD226" s="2">
        <v>7</v>
      </c>
      <c r="AE226" s="2">
        <v>0</v>
      </c>
      <c r="AF226" s="2">
        <v>0</v>
      </c>
      <c r="AG226" s="2">
        <v>0</v>
      </c>
      <c r="AH226" s="2">
        <v>7</v>
      </c>
      <c r="AI226" t="s">
        <v>45</v>
      </c>
    </row>
    <row r="227" spans="1:35" x14ac:dyDescent="0.3">
      <c r="A227" s="2" t="s">
        <v>35</v>
      </c>
      <c r="B227" s="2" t="s">
        <v>736</v>
      </c>
      <c r="C227" s="2" t="s">
        <v>737</v>
      </c>
      <c r="D227" s="2" t="s">
        <v>128</v>
      </c>
      <c r="E227" s="2" t="s">
        <v>738</v>
      </c>
      <c r="F227" s="2">
        <v>1985</v>
      </c>
      <c r="G227" s="2">
        <v>78</v>
      </c>
      <c r="H227" s="2">
        <v>2</v>
      </c>
      <c r="I227" s="2">
        <v>16</v>
      </c>
      <c r="J227" s="2">
        <v>11</v>
      </c>
      <c r="K227" s="2">
        <v>21</v>
      </c>
      <c r="L227" s="2">
        <f t="shared" ca="1" si="24"/>
        <v>41</v>
      </c>
      <c r="M227" s="2">
        <v>34</v>
      </c>
      <c r="N227" s="2">
        <v>43</v>
      </c>
      <c r="O227" s="2">
        <v>5577</v>
      </c>
      <c r="P227" s="2">
        <f t="shared" ca="1" si="25"/>
        <v>0.82926829268292679</v>
      </c>
      <c r="Q227" s="2">
        <f t="shared" ca="1" si="26"/>
        <v>57.858036272670418</v>
      </c>
      <c r="R227" s="2">
        <v>15.9276</v>
      </c>
      <c r="S227" s="2">
        <f t="shared" si="31"/>
        <v>72.722471794871794</v>
      </c>
      <c r="T227" s="2">
        <v>34</v>
      </c>
      <c r="U227" s="2">
        <v>74</v>
      </c>
      <c r="V227" s="2">
        <v>157.47059999999999</v>
      </c>
      <c r="W227" s="2">
        <f t="shared" si="27"/>
        <v>73.171035253028919</v>
      </c>
      <c r="X227" s="2">
        <v>12</v>
      </c>
      <c r="Y227" s="2">
        <f t="shared" si="28"/>
        <v>50.159744815937813</v>
      </c>
      <c r="Z227" s="2">
        <v>125</v>
      </c>
      <c r="AA227" s="2">
        <f t="shared" si="29"/>
        <v>65.192024052026483</v>
      </c>
      <c r="AB227" s="2">
        <f t="shared" si="30"/>
        <v>64.791977898502225</v>
      </c>
      <c r="AC227" s="2">
        <v>233.7884</v>
      </c>
      <c r="AD227" s="2">
        <v>22</v>
      </c>
      <c r="AE227" s="2">
        <v>9</v>
      </c>
      <c r="AF227" s="2">
        <v>0</v>
      </c>
      <c r="AG227" s="2">
        <v>25</v>
      </c>
      <c r="AH227" s="2">
        <v>5</v>
      </c>
      <c r="AI227" t="s">
        <v>45</v>
      </c>
    </row>
    <row r="228" spans="1:35" x14ac:dyDescent="0.3">
      <c r="A228" s="2" t="s">
        <v>35</v>
      </c>
      <c r="B228" s="2" t="s">
        <v>739</v>
      </c>
      <c r="C228" s="2" t="s">
        <v>740</v>
      </c>
      <c r="D228" s="2" t="s">
        <v>99</v>
      </c>
      <c r="E228" s="2" t="s">
        <v>741</v>
      </c>
      <c r="F228" s="2">
        <v>1992</v>
      </c>
      <c r="G228" s="2">
        <v>360</v>
      </c>
      <c r="H228" s="2">
        <v>190</v>
      </c>
      <c r="I228" s="2">
        <v>24</v>
      </c>
      <c r="J228" s="2">
        <v>14</v>
      </c>
      <c r="K228" s="2">
        <v>33</v>
      </c>
      <c r="L228" s="2">
        <f t="shared" ca="1" si="24"/>
        <v>34</v>
      </c>
      <c r="M228" s="2">
        <v>40</v>
      </c>
      <c r="N228" s="2">
        <v>177</v>
      </c>
      <c r="O228" s="2">
        <v>6520</v>
      </c>
      <c r="P228" s="2">
        <f t="shared" ca="1" si="25"/>
        <v>1.1764705882352942</v>
      </c>
      <c r="Q228" s="2">
        <f t="shared" ca="1" si="26"/>
        <v>10.743464052287583</v>
      </c>
      <c r="R228" s="2">
        <v>15.777699999999999</v>
      </c>
      <c r="S228" s="2">
        <f t="shared" si="31"/>
        <v>26.194366666666667</v>
      </c>
      <c r="T228" s="2">
        <v>40</v>
      </c>
      <c r="U228" s="2">
        <v>61</v>
      </c>
      <c r="V228" s="2">
        <v>75.650000000000006</v>
      </c>
      <c r="W228" s="2">
        <f t="shared" si="27"/>
        <v>55.009090157900268</v>
      </c>
      <c r="X228" s="2">
        <v>9</v>
      </c>
      <c r="Y228" s="2">
        <f t="shared" si="28"/>
        <v>49.396356140913873</v>
      </c>
      <c r="Z228" s="2">
        <v>58.5</v>
      </c>
      <c r="AA228" s="2">
        <f t="shared" si="29"/>
        <v>48.373546489791295</v>
      </c>
      <c r="AB228" s="2">
        <f t="shared" si="30"/>
        <v>37.76241517699841</v>
      </c>
      <c r="AC228" s="2">
        <v>212.93899999999999</v>
      </c>
      <c r="AD228" s="2">
        <v>22</v>
      </c>
      <c r="AE228" s="2">
        <v>8</v>
      </c>
      <c r="AF228" s="2">
        <v>17</v>
      </c>
      <c r="AG228" s="2">
        <v>36</v>
      </c>
      <c r="AH228" s="2">
        <v>10</v>
      </c>
      <c r="AI228" t="s">
        <v>45</v>
      </c>
    </row>
    <row r="229" spans="1:35" x14ac:dyDescent="0.3">
      <c r="A229" s="2" t="s">
        <v>35</v>
      </c>
      <c r="B229" s="2" t="s">
        <v>742</v>
      </c>
      <c r="C229" s="2" t="s">
        <v>743</v>
      </c>
      <c r="D229" s="2" t="s">
        <v>74</v>
      </c>
      <c r="E229" s="2" t="s">
        <v>744</v>
      </c>
      <c r="F229" s="2">
        <v>2009</v>
      </c>
      <c r="G229" s="2">
        <v>36</v>
      </c>
      <c r="H229" s="2">
        <v>6</v>
      </c>
      <c r="I229" s="2">
        <v>9</v>
      </c>
      <c r="J229" s="2">
        <v>9</v>
      </c>
      <c r="K229" s="2">
        <v>13</v>
      </c>
      <c r="L229" s="2">
        <f t="shared" ca="1" si="24"/>
        <v>17</v>
      </c>
      <c r="M229" s="2">
        <v>14</v>
      </c>
      <c r="N229" s="2">
        <v>15</v>
      </c>
      <c r="O229" s="2">
        <v>951</v>
      </c>
      <c r="P229" s="2">
        <f t="shared" ca="1" si="25"/>
        <v>0.82352941176470584</v>
      </c>
      <c r="Q229" s="2">
        <f t="shared" ca="1" si="26"/>
        <v>57.565359477124176</v>
      </c>
      <c r="R229" s="2">
        <v>8.6006</v>
      </c>
      <c r="S229" s="2">
        <f t="shared" si="31"/>
        <v>63.878377777777771</v>
      </c>
      <c r="T229" s="2">
        <v>14</v>
      </c>
      <c r="U229" s="2">
        <v>30</v>
      </c>
      <c r="V229" s="2">
        <v>63.142899999999997</v>
      </c>
      <c r="W229" s="2">
        <f t="shared" si="27"/>
        <v>29.732147584727208</v>
      </c>
      <c r="X229" s="2">
        <v>7</v>
      </c>
      <c r="Y229" s="2">
        <f t="shared" si="28"/>
        <v>20.493901531919196</v>
      </c>
      <c r="Z229" s="2">
        <v>49</v>
      </c>
      <c r="AA229" s="2">
        <f t="shared" si="29"/>
        <v>26.19160170741759</v>
      </c>
      <c r="AB229" s="2">
        <f t="shared" si="30"/>
        <v>26.229765534598283</v>
      </c>
      <c r="AC229" s="2">
        <v>66.730800000000002</v>
      </c>
      <c r="AD229" s="2">
        <v>12</v>
      </c>
      <c r="AE229" s="2">
        <v>2</v>
      </c>
      <c r="AF229" s="2">
        <v>6</v>
      </c>
      <c r="AG229" s="2">
        <v>6</v>
      </c>
      <c r="AH229" s="2">
        <v>6</v>
      </c>
      <c r="AI229" t="s">
        <v>45</v>
      </c>
    </row>
    <row r="230" spans="1:35" x14ac:dyDescent="0.3">
      <c r="A230" s="2" t="s">
        <v>35</v>
      </c>
      <c r="B230" s="2" t="s">
        <v>745</v>
      </c>
      <c r="C230" s="2" t="s">
        <v>746</v>
      </c>
      <c r="D230" s="2" t="s">
        <v>109</v>
      </c>
      <c r="E230" s="2" t="s">
        <v>747</v>
      </c>
      <c r="F230" s="2">
        <v>2000</v>
      </c>
      <c r="G230" s="2">
        <v>67</v>
      </c>
      <c r="H230" s="2">
        <v>21</v>
      </c>
      <c r="I230" s="2">
        <v>23</v>
      </c>
      <c r="J230" s="2">
        <v>2</v>
      </c>
      <c r="K230" s="2">
        <v>23</v>
      </c>
      <c r="L230" s="2">
        <f t="shared" ca="1" si="24"/>
        <v>26</v>
      </c>
      <c r="M230" s="2">
        <v>9</v>
      </c>
      <c r="N230" s="2">
        <v>8</v>
      </c>
      <c r="O230" s="2">
        <v>623</v>
      </c>
      <c r="P230" s="2">
        <f t="shared" ca="1" si="25"/>
        <v>0.34615384615384615</v>
      </c>
      <c r="Q230" s="2">
        <f t="shared" ca="1" si="26"/>
        <v>27.979334098737084</v>
      </c>
      <c r="R230" s="2">
        <v>9.0716999999999999</v>
      </c>
      <c r="S230" s="2">
        <f t="shared" si="31"/>
        <v>36.534386567164177</v>
      </c>
      <c r="T230" s="2">
        <v>9</v>
      </c>
      <c r="U230" s="2">
        <v>25</v>
      </c>
      <c r="V230" s="2">
        <v>60.777799999999999</v>
      </c>
      <c r="W230" s="2">
        <f t="shared" si="27"/>
        <v>23.388035402743856</v>
      </c>
      <c r="X230" s="2">
        <v>4</v>
      </c>
      <c r="Y230" s="2">
        <f t="shared" si="28"/>
        <v>15</v>
      </c>
      <c r="Z230" s="2">
        <v>23</v>
      </c>
      <c r="AA230" s="2">
        <f t="shared" si="29"/>
        <v>14.387494569938159</v>
      </c>
      <c r="AB230" s="2">
        <f t="shared" si="30"/>
        <v>21.587037777332952</v>
      </c>
      <c r="AC230" s="2">
        <v>35.028599999999997</v>
      </c>
      <c r="AD230" s="2">
        <v>7</v>
      </c>
      <c r="AE230" s="2">
        <v>7</v>
      </c>
      <c r="AF230" s="2">
        <v>4</v>
      </c>
      <c r="AG230" s="2">
        <v>4</v>
      </c>
      <c r="AH230" s="2">
        <v>0</v>
      </c>
      <c r="AI230" t="s">
        <v>93</v>
      </c>
    </row>
    <row r="231" spans="1:35" x14ac:dyDescent="0.3">
      <c r="A231" s="2" t="s">
        <v>35</v>
      </c>
      <c r="B231" s="2" t="s">
        <v>748</v>
      </c>
      <c r="C231" s="2" t="s">
        <v>749</v>
      </c>
      <c r="D231" s="2" t="s">
        <v>67</v>
      </c>
      <c r="E231" s="2" t="s">
        <v>750</v>
      </c>
      <c r="F231" s="2">
        <v>1985</v>
      </c>
      <c r="G231" s="2">
        <v>60</v>
      </c>
      <c r="H231" s="2">
        <v>25</v>
      </c>
      <c r="I231" s="2">
        <v>22</v>
      </c>
      <c r="J231" s="2">
        <v>8</v>
      </c>
      <c r="K231" s="2">
        <v>24</v>
      </c>
      <c r="L231" s="2">
        <f t="shared" ca="1" si="24"/>
        <v>41</v>
      </c>
      <c r="M231" s="2">
        <v>18</v>
      </c>
      <c r="N231" s="2">
        <v>22</v>
      </c>
      <c r="O231" s="2">
        <v>1148</v>
      </c>
      <c r="P231" s="2">
        <f t="shared" ca="1" si="25"/>
        <v>0.43902439024390244</v>
      </c>
      <c r="Q231" s="2">
        <f t="shared" ca="1" si="26"/>
        <v>46.565040650406502</v>
      </c>
      <c r="R231" s="2">
        <v>10.781599999999999</v>
      </c>
      <c r="S231" s="2">
        <f t="shared" si="31"/>
        <v>56.614933333333333</v>
      </c>
      <c r="T231" s="2">
        <v>18</v>
      </c>
      <c r="U231" s="2">
        <v>33</v>
      </c>
      <c r="V231" s="2">
        <v>58.722200000000001</v>
      </c>
      <c r="W231" s="2">
        <f t="shared" si="27"/>
        <v>32.511530262354619</v>
      </c>
      <c r="X231" s="2">
        <v>7</v>
      </c>
      <c r="Y231" s="2">
        <f t="shared" si="28"/>
        <v>24.372115213907882</v>
      </c>
      <c r="Z231" s="2">
        <v>38</v>
      </c>
      <c r="AA231" s="2">
        <f t="shared" si="29"/>
        <v>26.153393661244042</v>
      </c>
      <c r="AB231" s="2">
        <f t="shared" si="30"/>
        <v>27.073965354192211</v>
      </c>
      <c r="AC231" s="2">
        <v>77.608000000000004</v>
      </c>
      <c r="AD231" s="2">
        <v>11</v>
      </c>
      <c r="AE231" s="2">
        <v>6</v>
      </c>
      <c r="AF231" s="2">
        <v>7</v>
      </c>
      <c r="AG231" s="2">
        <v>8</v>
      </c>
      <c r="AH231" s="2">
        <v>2</v>
      </c>
      <c r="AI231" t="s">
        <v>40</v>
      </c>
    </row>
    <row r="232" spans="1:35" x14ac:dyDescent="0.3">
      <c r="A232" s="2" t="s">
        <v>35</v>
      </c>
      <c r="B232" s="2" t="s">
        <v>751</v>
      </c>
      <c r="C232" s="2" t="s">
        <v>752</v>
      </c>
      <c r="D232" s="2" t="s">
        <v>128</v>
      </c>
      <c r="E232" s="2" t="s">
        <v>753</v>
      </c>
      <c r="F232" s="2">
        <v>2014</v>
      </c>
      <c r="G232" s="2">
        <v>2</v>
      </c>
      <c r="H232" s="2">
        <v>0</v>
      </c>
      <c r="I232" s="2">
        <v>0</v>
      </c>
      <c r="J232" s="2">
        <v>0</v>
      </c>
      <c r="K232" s="2">
        <v>0</v>
      </c>
      <c r="L232" s="2">
        <f t="shared" ca="1" si="24"/>
        <v>12</v>
      </c>
      <c r="M232" s="2">
        <v>1</v>
      </c>
      <c r="N232" s="2">
        <v>0</v>
      </c>
      <c r="O232" s="2">
        <v>6</v>
      </c>
      <c r="P232" s="2">
        <f t="shared" ca="1" si="25"/>
        <v>8.3333333333333329E-2</v>
      </c>
      <c r="Q232" s="2">
        <f t="shared" ca="1" si="26"/>
        <v>54.166666666666664</v>
      </c>
      <c r="R232" s="2">
        <v>0.70709999999999995</v>
      </c>
      <c r="S232" s="2">
        <f t="shared" si="31"/>
        <v>50.707099999999997</v>
      </c>
      <c r="T232" s="2">
        <v>1</v>
      </c>
      <c r="U232" s="2">
        <v>2</v>
      </c>
      <c r="V232" s="2">
        <v>6</v>
      </c>
      <c r="W232" s="2">
        <f t="shared" si="27"/>
        <v>2.4494897427831779</v>
      </c>
      <c r="X232" s="2">
        <v>1</v>
      </c>
      <c r="Y232" s="2">
        <f t="shared" si="28"/>
        <v>1.4142135623730951</v>
      </c>
      <c r="Z232" s="2">
        <v>6</v>
      </c>
      <c r="AA232" s="2">
        <f t="shared" si="29"/>
        <v>2.4494897427831779</v>
      </c>
      <c r="AB232" s="2">
        <f t="shared" si="30"/>
        <v>2.2360679774997898</v>
      </c>
      <c r="AC232" s="2">
        <v>2.4495</v>
      </c>
      <c r="AD232" s="2">
        <v>1</v>
      </c>
      <c r="AE232" s="2">
        <v>0</v>
      </c>
      <c r="AF232" s="2">
        <v>1</v>
      </c>
      <c r="AG232" s="2">
        <v>0</v>
      </c>
      <c r="AH232" s="2">
        <v>0</v>
      </c>
      <c r="AI232" t="s">
        <v>45</v>
      </c>
    </row>
    <row r="233" spans="1:35" x14ac:dyDescent="0.3">
      <c r="A233" s="2" t="s">
        <v>35</v>
      </c>
      <c r="B233" s="2" t="s">
        <v>754</v>
      </c>
      <c r="C233" s="2" t="s">
        <v>755</v>
      </c>
      <c r="D233" s="2" t="s">
        <v>74</v>
      </c>
      <c r="E233" s="2" t="s">
        <v>756</v>
      </c>
      <c r="F233" s="2">
        <v>1964</v>
      </c>
      <c r="G233" s="2">
        <v>385</v>
      </c>
      <c r="H233" s="2">
        <v>206</v>
      </c>
      <c r="I233" s="2">
        <v>95</v>
      </c>
      <c r="J233" s="2">
        <v>79</v>
      </c>
      <c r="K233" s="2">
        <v>136</v>
      </c>
      <c r="L233" s="2">
        <f t="shared" ca="1" si="24"/>
        <v>62</v>
      </c>
      <c r="M233" s="2">
        <v>47</v>
      </c>
      <c r="N233" s="2">
        <v>132</v>
      </c>
      <c r="O233" s="2">
        <v>9678</v>
      </c>
      <c r="P233" s="2">
        <f t="shared" ca="1" si="25"/>
        <v>0.75806451612903225</v>
      </c>
      <c r="Q233" s="2">
        <f t="shared" ca="1" si="26"/>
        <v>24.716380393799749</v>
      </c>
      <c r="R233" s="2">
        <v>22.882899999999999</v>
      </c>
      <c r="S233" s="2">
        <f t="shared" si="31"/>
        <v>47.402380519480516</v>
      </c>
      <c r="T233" s="2">
        <v>47</v>
      </c>
      <c r="U233" s="2">
        <v>93</v>
      </c>
      <c r="V233" s="2">
        <v>156.91489999999999</v>
      </c>
      <c r="W233" s="2">
        <f t="shared" si="27"/>
        <v>85.877821933255845</v>
      </c>
      <c r="X233" s="2">
        <v>13</v>
      </c>
      <c r="Y233" s="2">
        <f t="shared" si="28"/>
        <v>66.113538704262382</v>
      </c>
      <c r="Z233" s="2">
        <v>113</v>
      </c>
      <c r="AA233" s="2">
        <f t="shared" si="29"/>
        <v>72.876608044008194</v>
      </c>
      <c r="AB233" s="2">
        <f t="shared" si="30"/>
        <v>71.874893391225285</v>
      </c>
      <c r="AC233" s="2">
        <v>333.67200000000003</v>
      </c>
      <c r="AD233" s="2">
        <v>27</v>
      </c>
      <c r="AE233" s="2">
        <v>14</v>
      </c>
      <c r="AF233" s="2">
        <v>18</v>
      </c>
      <c r="AG233" s="2">
        <v>37</v>
      </c>
      <c r="AH233" s="2">
        <v>15</v>
      </c>
      <c r="AI233" t="s">
        <v>45</v>
      </c>
    </row>
    <row r="234" spans="1:35" x14ac:dyDescent="0.3">
      <c r="A234" s="2" t="s">
        <v>35</v>
      </c>
      <c r="B234" s="2" t="s">
        <v>757</v>
      </c>
      <c r="C234" s="2" t="s">
        <v>758</v>
      </c>
      <c r="D234" s="2" t="s">
        <v>109</v>
      </c>
      <c r="E234" s="2" t="s">
        <v>759</v>
      </c>
      <c r="F234" s="2">
        <v>2019</v>
      </c>
      <c r="G234" s="2">
        <v>13</v>
      </c>
      <c r="H234" s="2">
        <v>11</v>
      </c>
      <c r="I234" s="2">
        <v>6</v>
      </c>
      <c r="J234" s="2">
        <v>7</v>
      </c>
      <c r="K234" s="2">
        <v>9</v>
      </c>
      <c r="L234" s="2">
        <f t="shared" ca="1" si="24"/>
        <v>7</v>
      </c>
      <c r="M234" s="2">
        <v>4</v>
      </c>
      <c r="N234" s="2">
        <v>4</v>
      </c>
      <c r="O234" s="2">
        <v>128</v>
      </c>
      <c r="P234" s="2">
        <f t="shared" ca="1" si="25"/>
        <v>0.5714285714285714</v>
      </c>
      <c r="Q234" s="2">
        <f t="shared" ca="1" si="26"/>
        <v>61.318681318681321</v>
      </c>
      <c r="R234" s="2">
        <v>6.1032999999999999</v>
      </c>
      <c r="S234" s="2">
        <f t="shared" si="31"/>
        <v>63.026376923076924</v>
      </c>
      <c r="T234" s="2">
        <v>4</v>
      </c>
      <c r="U234" s="2">
        <v>11</v>
      </c>
      <c r="V234" s="2">
        <v>30.5</v>
      </c>
      <c r="W234" s="2">
        <f t="shared" si="27"/>
        <v>11.045361017187261</v>
      </c>
      <c r="X234" s="2">
        <v>4</v>
      </c>
      <c r="Y234" s="2">
        <f t="shared" si="28"/>
        <v>6.6332495807107996</v>
      </c>
      <c r="Z234" s="2">
        <v>22</v>
      </c>
      <c r="AA234" s="2">
        <f t="shared" si="29"/>
        <v>9.3808315196468595</v>
      </c>
      <c r="AB234" s="2">
        <f t="shared" si="30"/>
        <v>10.295630140987001</v>
      </c>
      <c r="AC234" s="2">
        <v>15.3948</v>
      </c>
      <c r="AD234" s="2">
        <v>4</v>
      </c>
      <c r="AE234" s="2">
        <v>0</v>
      </c>
      <c r="AF234" s="2">
        <v>0</v>
      </c>
      <c r="AG234" s="2">
        <v>2</v>
      </c>
      <c r="AH234" s="2">
        <v>4</v>
      </c>
      <c r="AI234" t="s">
        <v>93</v>
      </c>
    </row>
    <row r="235" spans="1:35" x14ac:dyDescent="0.3">
      <c r="A235" s="2" t="s">
        <v>35</v>
      </c>
      <c r="B235" s="2" t="s">
        <v>760</v>
      </c>
      <c r="C235" s="2" t="s">
        <v>761</v>
      </c>
      <c r="D235" s="2" t="s">
        <v>67</v>
      </c>
      <c r="E235" s="2" t="s">
        <v>762</v>
      </c>
      <c r="F235" s="2">
        <v>2017</v>
      </c>
      <c r="G235" s="2">
        <v>3</v>
      </c>
      <c r="H235" s="2">
        <v>1</v>
      </c>
      <c r="I235" s="2">
        <v>0</v>
      </c>
      <c r="J235" s="2">
        <v>0</v>
      </c>
      <c r="K235" s="2">
        <v>0</v>
      </c>
      <c r="L235" s="2">
        <f t="shared" ca="1" si="24"/>
        <v>9</v>
      </c>
      <c r="M235" s="2">
        <v>3</v>
      </c>
      <c r="N235" s="2">
        <v>3</v>
      </c>
      <c r="O235" s="2">
        <v>726</v>
      </c>
      <c r="P235" s="2">
        <f t="shared" ca="1" si="25"/>
        <v>0.33333333333333331</v>
      </c>
      <c r="Q235" s="2">
        <f t="shared" ca="1" si="26"/>
        <v>107.77777777777779</v>
      </c>
      <c r="R235" s="2">
        <v>8.6832999999999991</v>
      </c>
      <c r="S235" s="2">
        <f t="shared" si="31"/>
        <v>105.34996666666667</v>
      </c>
      <c r="T235" s="2">
        <v>3</v>
      </c>
      <c r="U235" s="2">
        <v>3</v>
      </c>
      <c r="V235" s="2">
        <v>242</v>
      </c>
      <c r="W235" s="2">
        <f t="shared" si="27"/>
        <v>26.944387170614959</v>
      </c>
      <c r="X235" s="2">
        <v>3</v>
      </c>
      <c r="Y235" s="2">
        <f t="shared" si="28"/>
        <v>3</v>
      </c>
      <c r="Z235" s="2">
        <v>31</v>
      </c>
      <c r="AA235" s="2">
        <f t="shared" si="29"/>
        <v>9.6436507609929549</v>
      </c>
      <c r="AB235" s="2">
        <f t="shared" si="30"/>
        <v>26.776855677991769</v>
      </c>
      <c r="AC235" s="2">
        <v>27.946400000000001</v>
      </c>
      <c r="AD235" s="2">
        <v>3</v>
      </c>
      <c r="AE235" s="2">
        <v>0</v>
      </c>
      <c r="AF235" s="2">
        <v>1</v>
      </c>
      <c r="AG235" s="2">
        <v>2</v>
      </c>
      <c r="AH235" s="2">
        <v>0</v>
      </c>
      <c r="AI235" t="s">
        <v>40</v>
      </c>
    </row>
    <row r="236" spans="1:35" x14ac:dyDescent="0.3">
      <c r="A236" s="2" t="s">
        <v>35</v>
      </c>
      <c r="B236" s="2" t="s">
        <v>763</v>
      </c>
      <c r="C236" s="2" t="s">
        <v>764</v>
      </c>
      <c r="D236" s="2" t="s">
        <v>67</v>
      </c>
      <c r="E236" s="2" t="s">
        <v>765</v>
      </c>
      <c r="F236" s="2">
        <v>1958</v>
      </c>
      <c r="G236" s="2">
        <v>181</v>
      </c>
      <c r="H236" s="2">
        <v>90</v>
      </c>
      <c r="I236" s="2">
        <v>53</v>
      </c>
      <c r="J236" s="2">
        <v>42</v>
      </c>
      <c r="K236" s="2">
        <v>66</v>
      </c>
      <c r="L236" s="2">
        <f t="shared" ca="1" si="24"/>
        <v>68</v>
      </c>
      <c r="M236" s="2">
        <v>41</v>
      </c>
      <c r="N236" s="2">
        <v>72</v>
      </c>
      <c r="O236" s="2">
        <v>4892</v>
      </c>
      <c r="P236" s="2">
        <f t="shared" ca="1" si="25"/>
        <v>0.6029411764705882</v>
      </c>
      <c r="Q236" s="2">
        <f t="shared" ca="1" si="26"/>
        <v>36.244718882027954</v>
      </c>
      <c r="R236" s="2">
        <v>18.258900000000001</v>
      </c>
      <c r="S236" s="2">
        <f t="shared" si="31"/>
        <v>54.170502209944758</v>
      </c>
      <c r="T236" s="2">
        <v>41</v>
      </c>
      <c r="U236" s="2">
        <v>68</v>
      </c>
      <c r="V236" s="2">
        <v>98.365899999999996</v>
      </c>
      <c r="W236" s="2">
        <f t="shared" si="27"/>
        <v>63.505920196466718</v>
      </c>
      <c r="X236" s="2">
        <v>11</v>
      </c>
      <c r="Y236" s="2">
        <f t="shared" si="28"/>
        <v>52.801515129776341</v>
      </c>
      <c r="Z236" s="2">
        <v>88</v>
      </c>
      <c r="AA236" s="2">
        <f t="shared" si="29"/>
        <v>60.066629670724829</v>
      </c>
      <c r="AB236" s="2">
        <f t="shared" si="30"/>
        <v>48.497442200594456</v>
      </c>
      <c r="AC236" s="2">
        <v>250.60130000000001</v>
      </c>
      <c r="AD236" s="2">
        <v>30</v>
      </c>
      <c r="AE236" s="2">
        <v>10</v>
      </c>
      <c r="AF236" s="2">
        <v>9</v>
      </c>
      <c r="AG236" s="2">
        <v>23</v>
      </c>
      <c r="AH236" s="2">
        <v>19</v>
      </c>
      <c r="AI236" t="s">
        <v>40</v>
      </c>
    </row>
    <row r="237" spans="1:35" x14ac:dyDescent="0.3">
      <c r="A237" s="2" t="s">
        <v>35</v>
      </c>
      <c r="B237" s="2" t="s">
        <v>766</v>
      </c>
      <c r="C237" s="2" t="s">
        <v>767</v>
      </c>
      <c r="D237" s="2" t="s">
        <v>287</v>
      </c>
      <c r="E237" s="2" t="s">
        <v>768</v>
      </c>
      <c r="F237" s="2">
        <v>1988</v>
      </c>
      <c r="G237" s="2">
        <v>48</v>
      </c>
      <c r="H237" s="2">
        <v>0</v>
      </c>
      <c r="I237" s="2">
        <v>20</v>
      </c>
      <c r="J237" s="2">
        <v>11</v>
      </c>
      <c r="K237" s="2">
        <v>20</v>
      </c>
      <c r="L237" s="2">
        <f t="shared" ca="1" si="24"/>
        <v>38</v>
      </c>
      <c r="M237" s="2">
        <v>7</v>
      </c>
      <c r="N237" s="2">
        <v>7</v>
      </c>
      <c r="O237" s="2">
        <v>260</v>
      </c>
      <c r="P237" s="2">
        <f t="shared" ca="1" si="25"/>
        <v>0.18421052631578946</v>
      </c>
      <c r="Q237" s="2">
        <f t="shared" ca="1" si="26"/>
        <v>35.800438596491233</v>
      </c>
      <c r="R237" s="2">
        <v>4.3826999999999998</v>
      </c>
      <c r="S237" s="2">
        <f t="shared" si="31"/>
        <v>39.799366666666671</v>
      </c>
      <c r="T237" s="2">
        <v>7</v>
      </c>
      <c r="U237" s="2">
        <v>15</v>
      </c>
      <c r="V237" s="2">
        <v>30.714300000000001</v>
      </c>
      <c r="W237" s="2">
        <f t="shared" si="27"/>
        <v>14.662881708586481</v>
      </c>
      <c r="X237" s="2">
        <v>4</v>
      </c>
      <c r="Y237" s="2">
        <f t="shared" si="28"/>
        <v>10.246950765959598</v>
      </c>
      <c r="Z237" s="2">
        <v>32</v>
      </c>
      <c r="AA237" s="2">
        <f t="shared" si="29"/>
        <v>14.966629547095765</v>
      </c>
      <c r="AB237" s="2">
        <f t="shared" si="30"/>
        <v>12.884102607477169</v>
      </c>
      <c r="AC237" s="2">
        <v>25.139600000000002</v>
      </c>
      <c r="AD237" s="2">
        <v>6</v>
      </c>
      <c r="AE237" s="2">
        <v>3</v>
      </c>
      <c r="AF237" s="2">
        <v>4</v>
      </c>
      <c r="AG237" s="2">
        <v>3</v>
      </c>
      <c r="AH237" s="2">
        <v>1</v>
      </c>
      <c r="AI237" t="s">
        <v>45</v>
      </c>
    </row>
    <row r="238" spans="1:35" x14ac:dyDescent="0.3">
      <c r="A238" s="2" t="s">
        <v>35</v>
      </c>
      <c r="B238" s="2" t="s">
        <v>769</v>
      </c>
      <c r="C238" s="2" t="s">
        <v>770</v>
      </c>
      <c r="D238" s="2" t="s">
        <v>109</v>
      </c>
      <c r="E238" s="2" t="s">
        <v>771</v>
      </c>
      <c r="F238" s="2">
        <v>2014</v>
      </c>
      <c r="G238" s="2">
        <v>2</v>
      </c>
      <c r="H238" s="2">
        <v>0</v>
      </c>
      <c r="I238" s="2">
        <v>1</v>
      </c>
      <c r="J238" s="2">
        <v>0</v>
      </c>
      <c r="K238" s="2">
        <v>1</v>
      </c>
      <c r="L238" s="2">
        <f t="shared" ca="1" si="24"/>
        <v>12</v>
      </c>
      <c r="M238" s="2">
        <v>1</v>
      </c>
      <c r="N238" s="2">
        <v>0</v>
      </c>
      <c r="O238" s="2">
        <v>3</v>
      </c>
      <c r="P238" s="2">
        <f t="shared" ca="1" si="25"/>
        <v>8.3333333333333329E-2</v>
      </c>
      <c r="Q238" s="2">
        <f t="shared" ca="1" si="26"/>
        <v>79.166666666666657</v>
      </c>
      <c r="R238" s="2">
        <v>0.86599999999999999</v>
      </c>
      <c r="S238" s="2">
        <f t="shared" si="31"/>
        <v>75.866</v>
      </c>
      <c r="T238" s="2">
        <v>1</v>
      </c>
      <c r="U238" s="2">
        <v>1</v>
      </c>
      <c r="V238" s="2">
        <v>3</v>
      </c>
      <c r="W238" s="2">
        <f t="shared" si="27"/>
        <v>1.7320508075688772</v>
      </c>
      <c r="X238" s="2">
        <v>1</v>
      </c>
      <c r="Y238" s="2">
        <f t="shared" si="28"/>
        <v>1</v>
      </c>
      <c r="Z238" s="2">
        <v>3</v>
      </c>
      <c r="AA238" s="2">
        <f t="shared" si="29"/>
        <v>1.7320508075688772</v>
      </c>
      <c r="AB238" s="2">
        <f t="shared" si="30"/>
        <v>1.4142135623730951</v>
      </c>
      <c r="AC238" s="2">
        <v>1.7321</v>
      </c>
      <c r="AD238" s="2">
        <v>0</v>
      </c>
      <c r="AE238" s="2">
        <v>0</v>
      </c>
      <c r="AF238" s="2">
        <v>0</v>
      </c>
      <c r="AG238" s="2">
        <v>1</v>
      </c>
      <c r="AH238" s="2">
        <v>0</v>
      </c>
      <c r="AI238" t="s">
        <v>93</v>
      </c>
    </row>
    <row r="239" spans="1:35" x14ac:dyDescent="0.3">
      <c r="A239" s="2" t="s">
        <v>35</v>
      </c>
      <c r="B239" s="2" t="s">
        <v>772</v>
      </c>
      <c r="C239" s="2" t="s">
        <v>773</v>
      </c>
      <c r="D239" s="2" t="s">
        <v>74</v>
      </c>
      <c r="E239" s="2" t="s">
        <v>774</v>
      </c>
      <c r="F239" s="2">
        <v>2002</v>
      </c>
      <c r="G239" s="2">
        <v>47</v>
      </c>
      <c r="H239" s="2">
        <v>3</v>
      </c>
      <c r="I239" s="2">
        <v>7</v>
      </c>
      <c r="J239" s="2">
        <v>28</v>
      </c>
      <c r="K239" s="2">
        <v>29</v>
      </c>
      <c r="L239" s="2">
        <f t="shared" ca="1" si="24"/>
        <v>24</v>
      </c>
      <c r="M239" s="2">
        <v>12</v>
      </c>
      <c r="N239" s="2">
        <v>17</v>
      </c>
      <c r="O239" s="2">
        <v>590</v>
      </c>
      <c r="P239" s="2">
        <f t="shared" ca="1" si="25"/>
        <v>0.5</v>
      </c>
      <c r="Q239" s="2">
        <f t="shared" ca="1" si="26"/>
        <v>56.808510638297868</v>
      </c>
      <c r="R239" s="2">
        <v>7.9321000000000002</v>
      </c>
      <c r="S239" s="2">
        <f t="shared" si="31"/>
        <v>63.676780851063825</v>
      </c>
      <c r="T239" s="2">
        <v>13</v>
      </c>
      <c r="U239" s="2">
        <v>23</v>
      </c>
      <c r="V239" s="2">
        <v>36.769199999999998</v>
      </c>
      <c r="W239" s="2">
        <f t="shared" si="27"/>
        <v>21.863201961286457</v>
      </c>
      <c r="X239" s="2">
        <v>5</v>
      </c>
      <c r="Y239" s="2">
        <f t="shared" si="28"/>
        <v>17.291616465790582</v>
      </c>
      <c r="Z239" s="2">
        <v>32</v>
      </c>
      <c r="AA239" s="2">
        <f t="shared" si="29"/>
        <v>20.396078054371138</v>
      </c>
      <c r="AB239" s="2">
        <f t="shared" si="30"/>
        <v>17.578384453640783</v>
      </c>
      <c r="AC239" s="2">
        <v>46.604700000000001</v>
      </c>
      <c r="AD239" s="2">
        <v>11</v>
      </c>
      <c r="AE239" s="2">
        <v>1</v>
      </c>
      <c r="AF239" s="2">
        <v>6</v>
      </c>
      <c r="AG239" s="2">
        <v>4</v>
      </c>
      <c r="AH239" s="2">
        <v>8</v>
      </c>
      <c r="AI239" t="s">
        <v>45</v>
      </c>
    </row>
    <row r="240" spans="1:35" x14ac:dyDescent="0.3">
      <c r="A240" s="2" t="s">
        <v>35</v>
      </c>
      <c r="B240" s="2" t="s">
        <v>775</v>
      </c>
      <c r="C240" s="2" t="s">
        <v>776</v>
      </c>
      <c r="D240" s="2" t="s">
        <v>43</v>
      </c>
      <c r="E240" s="2" t="s">
        <v>777</v>
      </c>
      <c r="F240" s="2">
        <v>1986</v>
      </c>
      <c r="G240" s="2">
        <v>22</v>
      </c>
      <c r="H240" s="2">
        <v>1</v>
      </c>
      <c r="I240" s="2">
        <v>11</v>
      </c>
      <c r="J240" s="2">
        <v>10</v>
      </c>
      <c r="K240" s="2">
        <v>11</v>
      </c>
      <c r="L240" s="2">
        <f t="shared" ca="1" si="24"/>
        <v>40</v>
      </c>
      <c r="M240" s="2">
        <v>6</v>
      </c>
      <c r="N240" s="2">
        <v>3</v>
      </c>
      <c r="O240" s="2">
        <v>75</v>
      </c>
      <c r="P240" s="2">
        <f t="shared" ca="1" si="25"/>
        <v>0.15</v>
      </c>
      <c r="Q240" s="2">
        <f t="shared" ca="1" si="26"/>
        <v>52.500000000000007</v>
      </c>
      <c r="R240" s="2">
        <v>2.5722999999999998</v>
      </c>
      <c r="S240" s="2">
        <f t="shared" si="31"/>
        <v>54.390481818181826</v>
      </c>
      <c r="T240" s="2">
        <v>6</v>
      </c>
      <c r="U240" s="2">
        <v>8</v>
      </c>
      <c r="V240" s="2">
        <v>11.333299999999999</v>
      </c>
      <c r="W240" s="2">
        <f t="shared" si="27"/>
        <v>8.2461991244451518</v>
      </c>
      <c r="X240" s="2">
        <v>3</v>
      </c>
      <c r="Y240" s="2">
        <f t="shared" si="28"/>
        <v>6.9282032302755088</v>
      </c>
      <c r="Z240" s="2">
        <v>9.5</v>
      </c>
      <c r="AA240" s="2">
        <f t="shared" si="29"/>
        <v>7.5498344352707498</v>
      </c>
      <c r="AB240" s="2">
        <f t="shared" si="30"/>
        <v>5.6568365717952283</v>
      </c>
      <c r="AC240" s="2">
        <v>13.6015</v>
      </c>
      <c r="AD240" s="2">
        <v>4</v>
      </c>
      <c r="AE240" s="2">
        <v>1</v>
      </c>
      <c r="AF240" s="2">
        <v>4</v>
      </c>
      <c r="AG240" s="2">
        <v>0</v>
      </c>
      <c r="AH240" s="2">
        <v>2</v>
      </c>
      <c r="AI240" t="s">
        <v>45</v>
      </c>
    </row>
    <row r="241" spans="1:35" x14ac:dyDescent="0.3">
      <c r="A241" s="2" t="s">
        <v>35</v>
      </c>
      <c r="B241" s="2" t="s">
        <v>778</v>
      </c>
      <c r="C241" s="2" t="s">
        <v>779</v>
      </c>
      <c r="D241" s="2" t="s">
        <v>99</v>
      </c>
      <c r="E241" s="2" t="s">
        <v>780</v>
      </c>
      <c r="F241" s="2">
        <v>1987</v>
      </c>
      <c r="G241" s="2">
        <v>38</v>
      </c>
      <c r="H241" s="2">
        <v>24</v>
      </c>
      <c r="I241" s="2">
        <v>0</v>
      </c>
      <c r="J241" s="2">
        <v>3</v>
      </c>
      <c r="K241" s="2">
        <v>3</v>
      </c>
      <c r="L241" s="2">
        <f t="shared" ca="1" si="24"/>
        <v>39</v>
      </c>
      <c r="M241" s="2">
        <v>12</v>
      </c>
      <c r="N241" s="2">
        <v>14</v>
      </c>
      <c r="O241" s="2">
        <v>518</v>
      </c>
      <c r="P241" s="2">
        <f t="shared" ca="1" si="25"/>
        <v>0.30769230769230771</v>
      </c>
      <c r="Q241" s="2">
        <f t="shared" ca="1" si="26"/>
        <v>30.020242914979761</v>
      </c>
      <c r="R241" s="2">
        <v>5.5881999999999996</v>
      </c>
      <c r="S241" s="2">
        <f t="shared" si="31"/>
        <v>34.798726315789473</v>
      </c>
      <c r="T241" s="2">
        <v>12</v>
      </c>
      <c r="U241" s="2">
        <v>22</v>
      </c>
      <c r="V241" s="2">
        <v>37.083300000000001</v>
      </c>
      <c r="W241" s="2">
        <f t="shared" si="27"/>
        <v>21.095013628817593</v>
      </c>
      <c r="X241" s="2">
        <v>4</v>
      </c>
      <c r="Y241" s="2">
        <f t="shared" si="28"/>
        <v>16.248076809271922</v>
      </c>
      <c r="Z241" s="2">
        <v>18.5</v>
      </c>
      <c r="AA241" s="2">
        <f t="shared" si="29"/>
        <v>14.89966442575134</v>
      </c>
      <c r="AB241" s="2">
        <f t="shared" si="30"/>
        <v>17.349340045085288</v>
      </c>
      <c r="AC241" s="2">
        <v>40.841200000000001</v>
      </c>
      <c r="AD241" s="2">
        <v>6</v>
      </c>
      <c r="AE241" s="2">
        <v>0</v>
      </c>
      <c r="AF241" s="2">
        <v>0</v>
      </c>
      <c r="AG241" s="2">
        <v>12</v>
      </c>
      <c r="AH241" s="2">
        <v>3</v>
      </c>
      <c r="AI241" t="s">
        <v>45</v>
      </c>
    </row>
    <row r="242" spans="1:35" x14ac:dyDescent="0.3">
      <c r="A242" s="2" t="s">
        <v>35</v>
      </c>
      <c r="B242" s="2" t="s">
        <v>781</v>
      </c>
      <c r="C242" s="2" t="s">
        <v>782</v>
      </c>
      <c r="D242" s="2" t="s">
        <v>55</v>
      </c>
      <c r="E242" s="2" t="s">
        <v>783</v>
      </c>
      <c r="F242" s="2">
        <v>2007</v>
      </c>
      <c r="G242" s="2">
        <v>83</v>
      </c>
      <c r="H242" s="2">
        <v>0</v>
      </c>
      <c r="I242" s="2">
        <v>83</v>
      </c>
      <c r="J242" s="2">
        <v>83</v>
      </c>
      <c r="K242" s="2">
        <v>83</v>
      </c>
      <c r="L242" s="2">
        <f t="shared" ca="1" si="24"/>
        <v>19</v>
      </c>
      <c r="M242" s="2">
        <v>3</v>
      </c>
      <c r="N242" s="2">
        <v>1</v>
      </c>
      <c r="O242" s="2">
        <v>39</v>
      </c>
      <c r="P242" s="2">
        <f t="shared" ca="1" si="25"/>
        <v>0.15789473684210525</v>
      </c>
      <c r="Q242" s="2">
        <f t="shared" ca="1" si="26"/>
        <v>53.804692454026636</v>
      </c>
      <c r="R242" s="2">
        <v>1.5565</v>
      </c>
      <c r="S242" s="2">
        <f t="shared" si="31"/>
        <v>55.170957831325303</v>
      </c>
      <c r="T242" s="2">
        <v>3</v>
      </c>
      <c r="U242" s="2">
        <v>5</v>
      </c>
      <c r="V242" s="2">
        <v>9.3332999999999995</v>
      </c>
      <c r="W242" s="2">
        <f t="shared" si="27"/>
        <v>5.2914931730089192</v>
      </c>
      <c r="X242" s="2">
        <v>2</v>
      </c>
      <c r="Y242" s="2">
        <f t="shared" si="28"/>
        <v>3.872983346207417</v>
      </c>
      <c r="Z242" s="2">
        <v>9</v>
      </c>
      <c r="AA242" s="2">
        <f t="shared" si="29"/>
        <v>5.196152422706632</v>
      </c>
      <c r="AB242" s="2">
        <f t="shared" si="30"/>
        <v>4.3588874727388864</v>
      </c>
      <c r="AC242" s="2">
        <v>6.5574000000000003</v>
      </c>
      <c r="AD242" s="2">
        <v>3</v>
      </c>
      <c r="AE242" s="2">
        <v>0</v>
      </c>
      <c r="AF242" s="2">
        <v>0</v>
      </c>
      <c r="AG242" s="2">
        <v>0</v>
      </c>
      <c r="AH242" s="2">
        <v>3</v>
      </c>
      <c r="AI242" t="s">
        <v>45</v>
      </c>
    </row>
    <row r="243" spans="1:35" x14ac:dyDescent="0.3">
      <c r="A243" s="2" t="s">
        <v>35</v>
      </c>
      <c r="B243" s="2" t="s">
        <v>784</v>
      </c>
      <c r="C243" s="2" t="s">
        <v>785</v>
      </c>
      <c r="D243" s="2" t="s">
        <v>240</v>
      </c>
      <c r="E243" s="2" t="s">
        <v>786</v>
      </c>
      <c r="F243" s="2">
        <v>2023</v>
      </c>
      <c r="G243" s="2">
        <v>3</v>
      </c>
      <c r="H243" s="2">
        <v>0</v>
      </c>
      <c r="I243" s="2">
        <v>3</v>
      </c>
      <c r="J243" s="2">
        <v>3</v>
      </c>
      <c r="K243" s="2">
        <v>3</v>
      </c>
      <c r="L243" s="2">
        <f t="shared" ca="1" si="24"/>
        <v>3</v>
      </c>
      <c r="M243" s="2">
        <v>1</v>
      </c>
      <c r="N243" s="2">
        <v>0</v>
      </c>
      <c r="O243" s="2">
        <v>2</v>
      </c>
      <c r="P243" s="2">
        <f t="shared" ca="1" si="25"/>
        <v>0.33333333333333331</v>
      </c>
      <c r="Q243" s="2">
        <f t="shared" ca="1" si="26"/>
        <v>94.444444444444457</v>
      </c>
      <c r="R243" s="2">
        <v>0.5</v>
      </c>
      <c r="S243" s="2">
        <f t="shared" si="31"/>
        <v>83.833333333333343</v>
      </c>
      <c r="T243" s="2">
        <v>1</v>
      </c>
      <c r="U243" s="2">
        <v>1</v>
      </c>
      <c r="V243" s="2">
        <v>1</v>
      </c>
      <c r="W243" s="2">
        <f t="shared" si="27"/>
        <v>1</v>
      </c>
      <c r="X243" s="2">
        <v>1</v>
      </c>
      <c r="Y243" s="2">
        <f t="shared" si="28"/>
        <v>1</v>
      </c>
      <c r="Z243" s="2">
        <v>1</v>
      </c>
      <c r="AA243" s="2">
        <f t="shared" si="29"/>
        <v>1</v>
      </c>
      <c r="AB243" s="2">
        <f t="shared" si="30"/>
        <v>0</v>
      </c>
      <c r="AC243" s="2">
        <v>1</v>
      </c>
      <c r="AD243" s="2">
        <v>1</v>
      </c>
      <c r="AE243" s="2">
        <v>0</v>
      </c>
      <c r="AF243" s="2">
        <v>0</v>
      </c>
      <c r="AG243" s="2">
        <v>0</v>
      </c>
      <c r="AH243" s="2">
        <v>1</v>
      </c>
      <c r="AI243" t="s">
        <v>45</v>
      </c>
    </row>
    <row r="244" spans="1:35" x14ac:dyDescent="0.3">
      <c r="A244" s="2" t="s">
        <v>35</v>
      </c>
      <c r="B244" s="2" t="s">
        <v>787</v>
      </c>
      <c r="C244" s="2" t="s">
        <v>788</v>
      </c>
      <c r="D244" s="2" t="s">
        <v>43</v>
      </c>
      <c r="E244" s="2" t="s">
        <v>789</v>
      </c>
      <c r="F244" s="2">
        <v>2014</v>
      </c>
      <c r="G244" s="2">
        <v>11</v>
      </c>
      <c r="H244" s="2">
        <v>0</v>
      </c>
      <c r="I244" s="2">
        <v>11</v>
      </c>
      <c r="J244" s="2">
        <v>11</v>
      </c>
      <c r="K244" s="2">
        <v>11</v>
      </c>
      <c r="L244" s="2">
        <f t="shared" ca="1" si="24"/>
        <v>12</v>
      </c>
      <c r="M244" s="2">
        <v>3</v>
      </c>
      <c r="N244" s="2">
        <v>1</v>
      </c>
      <c r="O244" s="2">
        <v>66</v>
      </c>
      <c r="P244" s="2">
        <f t="shared" ca="1" si="25"/>
        <v>0.25</v>
      </c>
      <c r="Q244" s="2">
        <f t="shared" ca="1" si="26"/>
        <v>79.545454545454547</v>
      </c>
      <c r="R244" s="2">
        <v>3.4605000000000001</v>
      </c>
      <c r="S244" s="2">
        <f t="shared" si="31"/>
        <v>80.733227272727277</v>
      </c>
      <c r="T244" s="2">
        <v>3</v>
      </c>
      <c r="U244" s="2">
        <v>8</v>
      </c>
      <c r="V244" s="2">
        <v>20.333300000000001</v>
      </c>
      <c r="W244" s="2">
        <f t="shared" si="27"/>
        <v>7.810243274060034</v>
      </c>
      <c r="X244" s="2">
        <v>1</v>
      </c>
      <c r="Y244" s="2">
        <f t="shared" si="28"/>
        <v>4.8989794855663558</v>
      </c>
      <c r="Z244" s="2">
        <v>3</v>
      </c>
      <c r="AA244" s="2">
        <f t="shared" si="29"/>
        <v>3</v>
      </c>
      <c r="AB244" s="2">
        <f t="shared" si="30"/>
        <v>7.2110956171721927</v>
      </c>
      <c r="AC244" s="2">
        <v>8.3666</v>
      </c>
      <c r="AD244" s="2">
        <v>3</v>
      </c>
      <c r="AE244" s="2">
        <v>0</v>
      </c>
      <c r="AF244" s="2">
        <v>0</v>
      </c>
      <c r="AG244" s="2">
        <v>0</v>
      </c>
      <c r="AH244" s="2">
        <v>3</v>
      </c>
      <c r="AI244" t="s">
        <v>45</v>
      </c>
    </row>
    <row r="245" spans="1:35" x14ac:dyDescent="0.3">
      <c r="A245" s="2" t="s">
        <v>35</v>
      </c>
      <c r="B245" s="2" t="s">
        <v>790</v>
      </c>
      <c r="C245" s="2" t="s">
        <v>791</v>
      </c>
      <c r="D245" s="2" t="s">
        <v>74</v>
      </c>
      <c r="E245" s="2" t="s">
        <v>792</v>
      </c>
      <c r="F245" s="2">
        <v>2011</v>
      </c>
      <c r="G245" s="2">
        <v>18</v>
      </c>
      <c r="H245" s="2">
        <v>10</v>
      </c>
      <c r="I245" s="2">
        <v>6</v>
      </c>
      <c r="J245" s="2">
        <v>0</v>
      </c>
      <c r="K245" s="2">
        <v>6</v>
      </c>
      <c r="L245" s="2">
        <f t="shared" ca="1" si="24"/>
        <v>15</v>
      </c>
      <c r="M245" s="2">
        <v>7</v>
      </c>
      <c r="N245" s="2">
        <v>7</v>
      </c>
      <c r="O245" s="2">
        <v>798</v>
      </c>
      <c r="P245" s="2">
        <f t="shared" ca="1" si="25"/>
        <v>0.46666666666666667</v>
      </c>
      <c r="Q245" s="2">
        <f t="shared" ca="1" si="26"/>
        <v>52.592592592592588</v>
      </c>
      <c r="R245" s="2">
        <v>8.3719000000000001</v>
      </c>
      <c r="S245" s="2">
        <f t="shared" si="31"/>
        <v>58.371899999999997</v>
      </c>
      <c r="T245" s="2">
        <v>7</v>
      </c>
      <c r="U245" s="2">
        <v>18</v>
      </c>
      <c r="V245" s="2">
        <v>110.1429</v>
      </c>
      <c r="W245" s="2">
        <f t="shared" si="27"/>
        <v>27.766892155947161</v>
      </c>
      <c r="X245" s="2">
        <v>5</v>
      </c>
      <c r="Y245" s="2">
        <f t="shared" si="28"/>
        <v>11.224972160321824</v>
      </c>
      <c r="Z245" s="2">
        <v>59</v>
      </c>
      <c r="AA245" s="2">
        <f t="shared" si="29"/>
        <v>20.322401432901575</v>
      </c>
      <c r="AB245" s="2">
        <f t="shared" si="30"/>
        <v>26.870063267510183</v>
      </c>
      <c r="AC245" s="2">
        <v>44.0227</v>
      </c>
      <c r="AD245" s="2">
        <v>5</v>
      </c>
      <c r="AE245" s="2">
        <v>4</v>
      </c>
      <c r="AF245" s="2">
        <v>2</v>
      </c>
      <c r="AG245" s="2">
        <v>5</v>
      </c>
      <c r="AH245" s="2">
        <v>0</v>
      </c>
      <c r="AI245" t="s">
        <v>45</v>
      </c>
    </row>
    <row r="246" spans="1:35" x14ac:dyDescent="0.3">
      <c r="A246" s="2" t="s">
        <v>35</v>
      </c>
      <c r="B246" s="2" t="s">
        <v>793</v>
      </c>
      <c r="C246" s="2" t="s">
        <v>794</v>
      </c>
      <c r="D246" s="2" t="s">
        <v>67</v>
      </c>
      <c r="E246" s="2" t="s">
        <v>795</v>
      </c>
      <c r="F246" s="2">
        <v>1994</v>
      </c>
      <c r="G246" s="2">
        <v>39</v>
      </c>
      <c r="H246" s="2">
        <v>22</v>
      </c>
      <c r="I246" s="2">
        <v>10</v>
      </c>
      <c r="J246" s="2">
        <v>13</v>
      </c>
      <c r="K246" s="2">
        <v>23</v>
      </c>
      <c r="L246" s="2">
        <f t="shared" ca="1" si="24"/>
        <v>32</v>
      </c>
      <c r="M246" s="2">
        <v>17</v>
      </c>
      <c r="N246" s="2">
        <v>22</v>
      </c>
      <c r="O246" s="2">
        <v>1885</v>
      </c>
      <c r="P246" s="2">
        <f t="shared" ca="1" si="25"/>
        <v>0.53125</v>
      </c>
      <c r="Q246" s="2">
        <f t="shared" ca="1" si="26"/>
        <v>68.798076923076934</v>
      </c>
      <c r="R246" s="2">
        <v>9.9863999999999997</v>
      </c>
      <c r="S246" s="2">
        <f t="shared" si="31"/>
        <v>77.422297435897448</v>
      </c>
      <c r="T246" s="2">
        <v>17</v>
      </c>
      <c r="U246" s="2">
        <v>39</v>
      </c>
      <c r="V246" s="2">
        <v>104.5882</v>
      </c>
      <c r="W246" s="2">
        <f t="shared" si="27"/>
        <v>42.16633016993535</v>
      </c>
      <c r="X246" s="2">
        <v>7</v>
      </c>
      <c r="Y246" s="2">
        <f t="shared" si="28"/>
        <v>25.748786379167466</v>
      </c>
      <c r="Z246" s="2">
        <v>48</v>
      </c>
      <c r="AA246" s="2">
        <f t="shared" si="29"/>
        <v>28.565713714171402</v>
      </c>
      <c r="AB246" s="2">
        <f t="shared" si="30"/>
        <v>38.587554988622948</v>
      </c>
      <c r="AC246" s="2">
        <v>89.112300000000005</v>
      </c>
      <c r="AD246" s="2">
        <v>15</v>
      </c>
      <c r="AE246" s="2">
        <v>7</v>
      </c>
      <c r="AF246" s="2">
        <v>5</v>
      </c>
      <c r="AG246" s="2">
        <v>5</v>
      </c>
      <c r="AH246" s="2">
        <v>7</v>
      </c>
      <c r="AI246" t="s">
        <v>40</v>
      </c>
    </row>
    <row r="247" spans="1:35" x14ac:dyDescent="0.3">
      <c r="A247" s="2" t="s">
        <v>35</v>
      </c>
      <c r="B247" s="2" t="s">
        <v>796</v>
      </c>
      <c r="C247" s="2" t="s">
        <v>797</v>
      </c>
      <c r="D247" s="2" t="s">
        <v>43</v>
      </c>
      <c r="E247" s="2" t="s">
        <v>798</v>
      </c>
      <c r="F247" s="2">
        <v>2006</v>
      </c>
      <c r="G247" s="2">
        <v>30</v>
      </c>
      <c r="H247" s="2">
        <v>6</v>
      </c>
      <c r="I247" s="2">
        <v>22</v>
      </c>
      <c r="J247" s="2">
        <v>19</v>
      </c>
      <c r="K247" s="2">
        <v>22</v>
      </c>
      <c r="L247" s="2">
        <f t="shared" ca="1" si="24"/>
        <v>20</v>
      </c>
      <c r="M247" s="2">
        <v>3</v>
      </c>
      <c r="N247" s="2">
        <v>3</v>
      </c>
      <c r="O247" s="2">
        <v>358</v>
      </c>
      <c r="P247" s="2">
        <f t="shared" ca="1" si="25"/>
        <v>0.15</v>
      </c>
      <c r="Q247" s="2">
        <f t="shared" ca="1" si="26"/>
        <v>45.166666666666671</v>
      </c>
      <c r="R247" s="2">
        <v>8.3407</v>
      </c>
      <c r="S247" s="2">
        <f t="shared" si="31"/>
        <v>53.00736666666667</v>
      </c>
      <c r="T247" s="2">
        <v>3</v>
      </c>
      <c r="U247" s="2">
        <v>18</v>
      </c>
      <c r="V247" s="2">
        <v>116.66670000000001</v>
      </c>
      <c r="W247" s="2">
        <f t="shared" si="27"/>
        <v>18.708289606481937</v>
      </c>
      <c r="X247" s="2">
        <v>3</v>
      </c>
      <c r="Y247" s="2">
        <f t="shared" si="28"/>
        <v>7.3484692283495345</v>
      </c>
      <c r="Z247" s="2">
        <v>38</v>
      </c>
      <c r="AA247" s="2">
        <f t="shared" si="29"/>
        <v>10.677078252031311</v>
      </c>
      <c r="AB247" s="2">
        <f t="shared" si="30"/>
        <v>18.466188020270994</v>
      </c>
      <c r="AC247" s="2">
        <v>20.347000000000001</v>
      </c>
      <c r="AD247" s="2">
        <v>3</v>
      </c>
      <c r="AE247" s="2">
        <v>2</v>
      </c>
      <c r="AF247" s="2">
        <v>1</v>
      </c>
      <c r="AG247" s="2">
        <v>2</v>
      </c>
      <c r="AH247" s="2">
        <v>1</v>
      </c>
      <c r="AI247" t="s">
        <v>45</v>
      </c>
    </row>
    <row r="248" spans="1:35" x14ac:dyDescent="0.3">
      <c r="A248" s="2" t="s">
        <v>35</v>
      </c>
      <c r="B248" s="2" t="s">
        <v>799</v>
      </c>
      <c r="C248" s="2" t="s">
        <v>800</v>
      </c>
      <c r="D248" s="2" t="s">
        <v>91</v>
      </c>
      <c r="E248" s="2" t="s">
        <v>801</v>
      </c>
      <c r="F248" s="2">
        <v>1980</v>
      </c>
      <c r="G248" s="2">
        <v>132</v>
      </c>
      <c r="H248" s="2">
        <v>29</v>
      </c>
      <c r="I248" s="2">
        <v>44</v>
      </c>
      <c r="J248" s="2">
        <v>23</v>
      </c>
      <c r="K248" s="2">
        <v>44</v>
      </c>
      <c r="L248" s="2">
        <f t="shared" ca="1" si="24"/>
        <v>46</v>
      </c>
      <c r="M248" s="2">
        <v>25</v>
      </c>
      <c r="N248" s="2">
        <v>38</v>
      </c>
      <c r="O248" s="2">
        <v>3199</v>
      </c>
      <c r="P248" s="2">
        <f t="shared" ca="1" si="25"/>
        <v>0.54347826086956519</v>
      </c>
      <c r="Q248" s="2">
        <f t="shared" ca="1" si="26"/>
        <v>33.820816864295125</v>
      </c>
      <c r="R248" s="2">
        <v>19.142600000000002</v>
      </c>
      <c r="S248" s="2">
        <f t="shared" si="31"/>
        <v>52.551690909090908</v>
      </c>
      <c r="T248" s="2">
        <v>25</v>
      </c>
      <c r="U248" s="2">
        <v>56</v>
      </c>
      <c r="V248" s="2">
        <v>116.16</v>
      </c>
      <c r="W248" s="2">
        <f t="shared" si="27"/>
        <v>53.888774341229919</v>
      </c>
      <c r="X248" s="2">
        <v>8</v>
      </c>
      <c r="Y248" s="2">
        <f t="shared" si="28"/>
        <v>37.416573867739416</v>
      </c>
      <c r="Z248" s="2">
        <v>43</v>
      </c>
      <c r="AA248" s="2">
        <f t="shared" si="29"/>
        <v>32.787192621510002</v>
      </c>
      <c r="AB248" s="2">
        <f t="shared" si="30"/>
        <v>47.738873049120045</v>
      </c>
      <c r="AC248" s="2">
        <v>125.4392</v>
      </c>
      <c r="AD248" s="2">
        <v>17</v>
      </c>
      <c r="AE248" s="2">
        <v>10</v>
      </c>
      <c r="AF248" s="2">
        <v>0</v>
      </c>
      <c r="AG248" s="2">
        <v>14</v>
      </c>
      <c r="AH248" s="2">
        <v>9</v>
      </c>
      <c r="AI248" t="s">
        <v>93</v>
      </c>
    </row>
    <row r="249" spans="1:35" x14ac:dyDescent="0.3">
      <c r="A249" s="2" t="s">
        <v>35</v>
      </c>
      <c r="B249" s="2" t="s">
        <v>802</v>
      </c>
      <c r="C249" s="2" t="s">
        <v>803</v>
      </c>
      <c r="D249" s="2" t="s">
        <v>91</v>
      </c>
      <c r="E249" s="2" t="s">
        <v>804</v>
      </c>
      <c r="F249" s="2">
        <v>2025</v>
      </c>
      <c r="G249" s="2">
        <v>2</v>
      </c>
      <c r="H249" s="2">
        <v>1</v>
      </c>
      <c r="I249" s="2">
        <v>0</v>
      </c>
      <c r="J249" s="2">
        <v>0</v>
      </c>
      <c r="K249" s="2">
        <v>0</v>
      </c>
      <c r="L249" s="2">
        <f t="shared" ca="1" si="24"/>
        <v>1</v>
      </c>
      <c r="M249" s="2">
        <v>1</v>
      </c>
      <c r="N249" s="2">
        <v>0</v>
      </c>
      <c r="O249" s="2">
        <v>1</v>
      </c>
      <c r="P249" s="2">
        <f t="shared" ca="1" si="25"/>
        <v>1</v>
      </c>
      <c r="Q249" s="2">
        <f t="shared" ca="1" si="26"/>
        <v>95</v>
      </c>
      <c r="R249" s="2">
        <v>0.70709999999999995</v>
      </c>
      <c r="S249" s="2">
        <f t="shared" si="31"/>
        <v>45.707099999999997</v>
      </c>
      <c r="T249" s="2">
        <v>1</v>
      </c>
      <c r="U249" s="2">
        <v>1</v>
      </c>
      <c r="V249" s="2">
        <v>1</v>
      </c>
      <c r="W249" s="2">
        <f t="shared" si="27"/>
        <v>1</v>
      </c>
      <c r="X249" s="2">
        <v>1</v>
      </c>
      <c r="Y249" s="2">
        <f t="shared" si="28"/>
        <v>1</v>
      </c>
      <c r="Z249" s="2">
        <v>1</v>
      </c>
      <c r="AA249" s="2">
        <f t="shared" si="29"/>
        <v>1</v>
      </c>
      <c r="AB249" s="2">
        <f t="shared" si="30"/>
        <v>0</v>
      </c>
      <c r="AC249" s="2">
        <v>1</v>
      </c>
      <c r="AD249" s="2">
        <v>0</v>
      </c>
      <c r="AE249" s="2">
        <v>0</v>
      </c>
      <c r="AF249" s="2">
        <v>0</v>
      </c>
      <c r="AG249" s="2">
        <v>1</v>
      </c>
      <c r="AH249" s="2">
        <v>0</v>
      </c>
      <c r="AI249" t="s">
        <v>93</v>
      </c>
    </row>
    <row r="250" spans="1:35" x14ac:dyDescent="0.3">
      <c r="A250" s="2" t="s">
        <v>35</v>
      </c>
      <c r="B250" s="2" t="s">
        <v>805</v>
      </c>
      <c r="C250" s="2" t="s">
        <v>806</v>
      </c>
      <c r="D250" s="2" t="s">
        <v>74</v>
      </c>
      <c r="E250" s="2" t="s">
        <v>807</v>
      </c>
      <c r="F250" s="2">
        <v>1970</v>
      </c>
      <c r="G250" s="2">
        <v>129</v>
      </c>
      <c r="H250" s="2">
        <v>18</v>
      </c>
      <c r="I250" s="2">
        <v>43</v>
      </c>
      <c r="J250" s="2">
        <v>39</v>
      </c>
      <c r="K250" s="2">
        <v>60</v>
      </c>
      <c r="L250" s="2">
        <f t="shared" ca="1" si="24"/>
        <v>56</v>
      </c>
      <c r="M250" s="2">
        <v>15</v>
      </c>
      <c r="N250" s="2">
        <v>25</v>
      </c>
      <c r="O250" s="2">
        <v>856</v>
      </c>
      <c r="P250" s="2">
        <f t="shared" ca="1" si="25"/>
        <v>0.26785714285714285</v>
      </c>
      <c r="Q250" s="2">
        <f t="shared" ca="1" si="26"/>
        <v>33.69601328903655</v>
      </c>
      <c r="R250" s="2">
        <v>8.6659000000000006</v>
      </c>
      <c r="S250" s="2">
        <f t="shared" si="31"/>
        <v>42.154272093023259</v>
      </c>
      <c r="T250" s="2">
        <v>15</v>
      </c>
      <c r="U250" s="2">
        <v>26</v>
      </c>
      <c r="V250" s="2">
        <v>38.7333</v>
      </c>
      <c r="W250" s="2">
        <f t="shared" si="27"/>
        <v>24.103931214637999</v>
      </c>
      <c r="X250" s="2">
        <v>5</v>
      </c>
      <c r="Y250" s="2">
        <f t="shared" si="28"/>
        <v>19.748417658131498</v>
      </c>
      <c r="Z250" s="2">
        <v>21</v>
      </c>
      <c r="AA250" s="2">
        <f t="shared" si="29"/>
        <v>17.748239349298849</v>
      </c>
      <c r="AB250" s="2">
        <f t="shared" si="30"/>
        <v>18.867949014135057</v>
      </c>
      <c r="AC250" s="2">
        <v>52.668799999999997</v>
      </c>
      <c r="AD250" s="2">
        <v>9</v>
      </c>
      <c r="AE250" s="2">
        <v>4</v>
      </c>
      <c r="AF250" s="2">
        <v>4</v>
      </c>
      <c r="AG250" s="2">
        <v>13</v>
      </c>
      <c r="AH250" s="2">
        <v>7</v>
      </c>
      <c r="AI250" t="s">
        <v>45</v>
      </c>
    </row>
    <row r="251" spans="1:35" x14ac:dyDescent="0.3">
      <c r="A251" s="2" t="s">
        <v>35</v>
      </c>
      <c r="B251" s="2" t="s">
        <v>808</v>
      </c>
      <c r="C251" s="2" t="s">
        <v>809</v>
      </c>
      <c r="D251" s="2" t="s">
        <v>51</v>
      </c>
      <c r="E251" s="2" t="s">
        <v>810</v>
      </c>
      <c r="F251" s="2">
        <v>1983</v>
      </c>
      <c r="G251" s="2">
        <v>42</v>
      </c>
      <c r="H251" s="2">
        <v>3</v>
      </c>
      <c r="I251" s="2">
        <v>14</v>
      </c>
      <c r="J251" s="2">
        <v>3</v>
      </c>
      <c r="K251" s="2">
        <v>14</v>
      </c>
      <c r="L251" s="2">
        <f t="shared" ca="1" si="24"/>
        <v>43</v>
      </c>
      <c r="M251" s="2">
        <v>7</v>
      </c>
      <c r="N251" s="2">
        <v>5</v>
      </c>
      <c r="O251" s="2">
        <v>208</v>
      </c>
      <c r="P251" s="2">
        <f t="shared" ca="1" si="25"/>
        <v>0.16279069767441862</v>
      </c>
      <c r="Q251" s="2">
        <f t="shared" ca="1" si="26"/>
        <v>33.006644518272424</v>
      </c>
      <c r="R251" s="2">
        <v>3.3534000000000002</v>
      </c>
      <c r="S251" s="2">
        <f t="shared" si="31"/>
        <v>35.972447619047621</v>
      </c>
      <c r="T251" s="2">
        <v>7</v>
      </c>
      <c r="U251" s="2">
        <v>14</v>
      </c>
      <c r="V251" s="2">
        <v>25.714300000000001</v>
      </c>
      <c r="W251" s="2">
        <f t="shared" si="27"/>
        <v>13.416411591778184</v>
      </c>
      <c r="X251" s="2">
        <v>3</v>
      </c>
      <c r="Y251" s="2">
        <f t="shared" si="28"/>
        <v>9.8994949366116654</v>
      </c>
      <c r="Z251" s="2">
        <v>10</v>
      </c>
      <c r="AA251" s="2">
        <f t="shared" si="29"/>
        <v>8.3666002653407556</v>
      </c>
      <c r="AB251" s="2">
        <f t="shared" si="30"/>
        <v>11.445527510779046</v>
      </c>
      <c r="AC251" s="2">
        <v>19.874600000000001</v>
      </c>
      <c r="AD251" s="2">
        <v>5</v>
      </c>
      <c r="AE251" s="2">
        <v>1</v>
      </c>
      <c r="AF251" s="2">
        <v>4</v>
      </c>
      <c r="AG251" s="2">
        <v>3</v>
      </c>
      <c r="AH251" s="2">
        <v>1</v>
      </c>
      <c r="AI251" t="s">
        <v>40</v>
      </c>
    </row>
    <row r="252" spans="1:35" x14ac:dyDescent="0.3">
      <c r="A252" s="2" t="s">
        <v>35</v>
      </c>
      <c r="B252" s="2" t="s">
        <v>811</v>
      </c>
      <c r="C252" s="2" t="s">
        <v>812</v>
      </c>
      <c r="D252" s="2" t="s">
        <v>43</v>
      </c>
      <c r="E252" s="2" t="s">
        <v>813</v>
      </c>
      <c r="F252" s="2">
        <v>2026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f t="shared" ca="1" si="24"/>
        <v>1</v>
      </c>
      <c r="M252" s="2">
        <v>1</v>
      </c>
      <c r="N252" s="2">
        <v>1</v>
      </c>
      <c r="O252" s="2">
        <v>10</v>
      </c>
      <c r="P252" s="2">
        <f t="shared" ca="1" si="25"/>
        <v>1</v>
      </c>
      <c r="Q252" s="2">
        <f t="shared" ca="1" si="26"/>
        <v>200</v>
      </c>
      <c r="R252" s="2">
        <v>3.1623000000000001</v>
      </c>
      <c r="S252" s="2">
        <f t="shared" si="31"/>
        <v>103.1623</v>
      </c>
      <c r="T252" s="2">
        <v>1</v>
      </c>
      <c r="U252" s="2">
        <v>1</v>
      </c>
      <c r="V252" s="2">
        <v>10</v>
      </c>
      <c r="W252" s="2">
        <f t="shared" si="27"/>
        <v>3.1622776601683795</v>
      </c>
      <c r="X252" s="2">
        <v>1</v>
      </c>
      <c r="Y252" s="2">
        <f t="shared" si="28"/>
        <v>1</v>
      </c>
      <c r="Z252" s="2">
        <v>10</v>
      </c>
      <c r="AA252" s="2">
        <f t="shared" si="29"/>
        <v>3.1622776601683795</v>
      </c>
      <c r="AB252" s="2">
        <f t="shared" si="30"/>
        <v>3</v>
      </c>
      <c r="AC252" s="2">
        <v>3.1623000000000001</v>
      </c>
      <c r="AD252" s="2">
        <v>1</v>
      </c>
      <c r="AE252" s="2">
        <v>0</v>
      </c>
      <c r="AF252" s="2">
        <v>0</v>
      </c>
      <c r="AG252" s="2">
        <v>1</v>
      </c>
      <c r="AH252" s="2">
        <v>0</v>
      </c>
      <c r="AI252" t="s">
        <v>45</v>
      </c>
    </row>
    <row r="253" spans="1:35" x14ac:dyDescent="0.3">
      <c r="A253" s="2" t="s">
        <v>35</v>
      </c>
      <c r="B253" s="2" t="s">
        <v>814</v>
      </c>
      <c r="C253" s="2" t="s">
        <v>815</v>
      </c>
      <c r="D253" s="2" t="s">
        <v>62</v>
      </c>
      <c r="E253" s="2" t="s">
        <v>816</v>
      </c>
      <c r="F253" s="2">
        <v>1982</v>
      </c>
      <c r="G253" s="2">
        <v>306</v>
      </c>
      <c r="H253" s="2">
        <v>12</v>
      </c>
      <c r="I253" s="2">
        <v>78</v>
      </c>
      <c r="J253" s="2">
        <v>53</v>
      </c>
      <c r="K253" s="2">
        <v>99</v>
      </c>
      <c r="L253" s="2">
        <f t="shared" ca="1" si="24"/>
        <v>44</v>
      </c>
      <c r="M253" s="2">
        <v>39</v>
      </c>
      <c r="N253" s="2">
        <v>116</v>
      </c>
      <c r="O253" s="2">
        <v>6005</v>
      </c>
      <c r="P253" s="2">
        <f t="shared" ca="1" si="25"/>
        <v>0.88636363636363635</v>
      </c>
      <c r="Q253" s="2">
        <f t="shared" ca="1" si="26"/>
        <v>28.819073083778967</v>
      </c>
      <c r="R253" s="2">
        <v>11.6691</v>
      </c>
      <c r="S253" s="2">
        <f t="shared" si="31"/>
        <v>40.198511764705884</v>
      </c>
      <c r="T253" s="2">
        <v>39</v>
      </c>
      <c r="U253" s="2">
        <v>70</v>
      </c>
      <c r="V253" s="2">
        <v>102.66670000000001</v>
      </c>
      <c r="W253" s="2">
        <f t="shared" si="27"/>
        <v>63.277178350492214</v>
      </c>
      <c r="X253" s="2">
        <v>9</v>
      </c>
      <c r="Y253" s="2">
        <f t="shared" si="28"/>
        <v>52.249401910452526</v>
      </c>
      <c r="Z253" s="2">
        <v>66</v>
      </c>
      <c r="AA253" s="2">
        <f t="shared" si="29"/>
        <v>50.734603575863289</v>
      </c>
      <c r="AB253" s="2">
        <f t="shared" si="30"/>
        <v>49.829723057628968</v>
      </c>
      <c r="AC253" s="2">
        <v>217.98390000000001</v>
      </c>
      <c r="AD253" s="2">
        <v>30</v>
      </c>
      <c r="AE253" s="2">
        <v>23</v>
      </c>
      <c r="AF253" s="2">
        <v>24</v>
      </c>
      <c r="AG253" s="2">
        <v>16</v>
      </c>
      <c r="AH253" s="2">
        <v>13</v>
      </c>
      <c r="AI253" t="s">
        <v>64</v>
      </c>
    </row>
    <row r="254" spans="1:35" x14ac:dyDescent="0.3">
      <c r="A254" s="2" t="s">
        <v>35</v>
      </c>
      <c r="B254" s="2" t="s">
        <v>817</v>
      </c>
      <c r="C254" s="2" t="s">
        <v>818</v>
      </c>
      <c r="D254" s="2" t="s">
        <v>38</v>
      </c>
      <c r="E254" s="2" t="s">
        <v>819</v>
      </c>
      <c r="F254" s="2">
        <v>1958</v>
      </c>
      <c r="G254" s="2">
        <v>2764</v>
      </c>
      <c r="H254" s="2">
        <v>829</v>
      </c>
      <c r="I254" s="2">
        <v>922</v>
      </c>
      <c r="J254" s="2">
        <v>358</v>
      </c>
      <c r="K254" s="2">
        <v>979</v>
      </c>
      <c r="L254" s="2">
        <f t="shared" ca="1" si="24"/>
        <v>68</v>
      </c>
      <c r="M254" s="2">
        <v>77</v>
      </c>
      <c r="N254" s="2">
        <v>723</v>
      </c>
      <c r="O254" s="2">
        <v>33569</v>
      </c>
      <c r="P254" s="2">
        <f t="shared" ca="1" si="25"/>
        <v>1.1323529411764706</v>
      </c>
      <c r="Q254" s="2">
        <f t="shared" ca="1" si="26"/>
        <v>17.537349961692346</v>
      </c>
      <c r="R254" s="2">
        <v>29.765699999999999</v>
      </c>
      <c r="S254" s="2">
        <f t="shared" si="31"/>
        <v>47.26208205499276</v>
      </c>
      <c r="T254" s="2">
        <v>76</v>
      </c>
      <c r="U254" s="2">
        <v>125</v>
      </c>
      <c r="V254" s="2">
        <v>163.34209999999999</v>
      </c>
      <c r="W254" s="2">
        <f t="shared" si="27"/>
        <v>111.41812958401339</v>
      </c>
      <c r="X254" s="2">
        <v>15</v>
      </c>
      <c r="Y254" s="2">
        <f t="shared" si="28"/>
        <v>97.467943448089642</v>
      </c>
      <c r="Z254" s="2">
        <v>129.5</v>
      </c>
      <c r="AA254" s="2">
        <f t="shared" si="29"/>
        <v>99.206854601887258</v>
      </c>
      <c r="AB254" s="2">
        <f t="shared" si="30"/>
        <v>81.473919753501477</v>
      </c>
      <c r="AC254" s="2">
        <v>582.47659999999996</v>
      </c>
      <c r="AD254" s="2">
        <v>50</v>
      </c>
      <c r="AE254" s="2">
        <v>37</v>
      </c>
      <c r="AF254" s="2">
        <v>41</v>
      </c>
      <c r="AG254" s="2">
        <v>60</v>
      </c>
      <c r="AH254" s="2">
        <v>27</v>
      </c>
      <c r="AI254" t="s">
        <v>40</v>
      </c>
    </row>
    <row r="255" spans="1:35" x14ac:dyDescent="0.3">
      <c r="A255" s="2" t="s">
        <v>35</v>
      </c>
      <c r="B255" s="2" t="s">
        <v>820</v>
      </c>
      <c r="C255" s="2" t="s">
        <v>821</v>
      </c>
      <c r="D255" s="2" t="s">
        <v>43</v>
      </c>
      <c r="E255" s="2" t="s">
        <v>822</v>
      </c>
      <c r="F255" s="2">
        <v>2019</v>
      </c>
      <c r="G255" s="2">
        <v>8</v>
      </c>
      <c r="H255" s="2">
        <v>1</v>
      </c>
      <c r="I255" s="2">
        <v>2</v>
      </c>
      <c r="J255" s="2">
        <v>0</v>
      </c>
      <c r="K255" s="2">
        <v>2</v>
      </c>
      <c r="L255" s="2">
        <f t="shared" ca="1" si="24"/>
        <v>7</v>
      </c>
      <c r="M255" s="2">
        <v>1</v>
      </c>
      <c r="N255" s="2">
        <v>0</v>
      </c>
      <c r="O255" s="2">
        <v>6</v>
      </c>
      <c r="P255" s="2">
        <f t="shared" ca="1" si="25"/>
        <v>0.14285714285714285</v>
      </c>
      <c r="Q255" s="2">
        <f t="shared" ca="1" si="26"/>
        <v>25.535714285714285</v>
      </c>
      <c r="R255" s="2">
        <v>0.92579999999999996</v>
      </c>
      <c r="S255" s="2">
        <f t="shared" si="31"/>
        <v>24.675799999999999</v>
      </c>
      <c r="T255" s="2">
        <v>1</v>
      </c>
      <c r="U255" s="2">
        <v>2</v>
      </c>
      <c r="V255" s="2">
        <v>6</v>
      </c>
      <c r="W255" s="2">
        <f t="shared" si="27"/>
        <v>2.4494897427831779</v>
      </c>
      <c r="X255" s="2">
        <v>1</v>
      </c>
      <c r="Y255" s="2">
        <f t="shared" si="28"/>
        <v>1.4142135623730951</v>
      </c>
      <c r="Z255" s="2">
        <v>6</v>
      </c>
      <c r="AA255" s="2">
        <f t="shared" si="29"/>
        <v>2.4494897427831779</v>
      </c>
      <c r="AB255" s="2">
        <f t="shared" si="30"/>
        <v>2.2360679774997898</v>
      </c>
      <c r="AC255" s="2">
        <v>2.4495</v>
      </c>
      <c r="AD255" s="2">
        <v>1</v>
      </c>
      <c r="AE255" s="2">
        <v>1</v>
      </c>
      <c r="AF255" s="2">
        <v>0</v>
      </c>
      <c r="AG255" s="2">
        <v>0</v>
      </c>
      <c r="AH255" s="2">
        <v>0</v>
      </c>
      <c r="AI255" t="s">
        <v>45</v>
      </c>
    </row>
    <row r="256" spans="1:35" x14ac:dyDescent="0.3">
      <c r="A256" s="2" t="s">
        <v>35</v>
      </c>
      <c r="B256" s="2" t="s">
        <v>823</v>
      </c>
      <c r="C256" s="2" t="s">
        <v>824</v>
      </c>
      <c r="D256" s="2" t="s">
        <v>38</v>
      </c>
      <c r="E256" s="2" t="s">
        <v>825</v>
      </c>
      <c r="F256" s="2">
        <v>1979</v>
      </c>
      <c r="G256" s="2">
        <v>105</v>
      </c>
      <c r="H256" s="2">
        <v>25</v>
      </c>
      <c r="I256" s="2">
        <v>21</v>
      </c>
      <c r="J256" s="2">
        <v>6</v>
      </c>
      <c r="K256" s="2">
        <v>22</v>
      </c>
      <c r="L256" s="2">
        <f t="shared" ca="1" si="24"/>
        <v>47</v>
      </c>
      <c r="M256" s="2">
        <v>15</v>
      </c>
      <c r="N256" s="2">
        <v>24</v>
      </c>
      <c r="O256" s="2">
        <v>855</v>
      </c>
      <c r="P256" s="2">
        <f t="shared" ca="1" si="25"/>
        <v>0.31914893617021278</v>
      </c>
      <c r="Q256" s="2">
        <f t="shared" ca="1" si="26"/>
        <v>22.684903748733532</v>
      </c>
      <c r="R256" s="2">
        <v>6.0766</v>
      </c>
      <c r="S256" s="2">
        <f t="shared" si="31"/>
        <v>28.457552380952379</v>
      </c>
      <c r="T256" s="2">
        <v>15</v>
      </c>
      <c r="U256" s="2">
        <v>27</v>
      </c>
      <c r="V256" s="2">
        <v>42.4</v>
      </c>
      <c r="W256" s="2">
        <f t="shared" si="27"/>
        <v>25.219040425836983</v>
      </c>
      <c r="X256" s="2">
        <v>6</v>
      </c>
      <c r="Y256" s="2">
        <f t="shared" si="28"/>
        <v>20.124611797498108</v>
      </c>
      <c r="Z256" s="2">
        <v>38</v>
      </c>
      <c r="AA256" s="2">
        <f t="shared" si="29"/>
        <v>23.874672772626646</v>
      </c>
      <c r="AB256" s="2">
        <f t="shared" si="30"/>
        <v>20.273134932713294</v>
      </c>
      <c r="AC256" s="2">
        <v>61.343299999999999</v>
      </c>
      <c r="AD256" s="2">
        <v>11</v>
      </c>
      <c r="AE256" s="2">
        <v>6</v>
      </c>
      <c r="AF256" s="2">
        <v>8</v>
      </c>
      <c r="AG256" s="2">
        <v>11</v>
      </c>
      <c r="AH256" s="2">
        <v>1</v>
      </c>
      <c r="AI256" t="s">
        <v>40</v>
      </c>
    </row>
    <row r="257" spans="1:35" x14ac:dyDescent="0.3">
      <c r="A257" s="2" t="s">
        <v>35</v>
      </c>
      <c r="B257" s="2" t="s">
        <v>826</v>
      </c>
      <c r="C257" s="2" t="s">
        <v>827</v>
      </c>
      <c r="D257" s="2" t="s">
        <v>128</v>
      </c>
      <c r="E257" s="2" t="s">
        <v>828</v>
      </c>
      <c r="F257" s="2">
        <v>2001</v>
      </c>
      <c r="G257" s="2">
        <v>63</v>
      </c>
      <c r="H257" s="2">
        <v>1</v>
      </c>
      <c r="I257" s="2">
        <v>30</v>
      </c>
      <c r="J257" s="2">
        <v>27</v>
      </c>
      <c r="K257" s="2">
        <v>39</v>
      </c>
      <c r="L257" s="2">
        <f t="shared" ca="1" si="24"/>
        <v>25</v>
      </c>
      <c r="M257" s="2">
        <v>13</v>
      </c>
      <c r="N257" s="2">
        <v>16</v>
      </c>
      <c r="O257" s="2">
        <v>651</v>
      </c>
      <c r="P257" s="2">
        <f t="shared" ca="1" si="25"/>
        <v>0.52</v>
      </c>
      <c r="Q257" s="2">
        <f t="shared" ca="1" si="26"/>
        <v>52.253968253968253</v>
      </c>
      <c r="R257" s="2">
        <v>6.7667999999999999</v>
      </c>
      <c r="S257" s="2">
        <f t="shared" si="31"/>
        <v>58.19537142857142</v>
      </c>
      <c r="T257" s="2">
        <v>13</v>
      </c>
      <c r="U257" s="2">
        <v>24</v>
      </c>
      <c r="V257" s="2">
        <v>38.923099999999998</v>
      </c>
      <c r="W257" s="2">
        <f t="shared" si="27"/>
        <v>22.494450426716362</v>
      </c>
      <c r="X257" s="2">
        <v>5</v>
      </c>
      <c r="Y257" s="2">
        <f t="shared" si="28"/>
        <v>17.663521732655695</v>
      </c>
      <c r="Z257" s="2">
        <v>26</v>
      </c>
      <c r="AA257" s="2">
        <f t="shared" si="29"/>
        <v>18.384776310850235</v>
      </c>
      <c r="AB257" s="2">
        <f t="shared" si="30"/>
        <v>18.357567921704661</v>
      </c>
      <c r="AC257" s="2">
        <v>47.989600000000003</v>
      </c>
      <c r="AD257" s="2">
        <v>11</v>
      </c>
      <c r="AE257" s="2">
        <v>5</v>
      </c>
      <c r="AF257" s="2">
        <v>6</v>
      </c>
      <c r="AG257" s="2">
        <v>1</v>
      </c>
      <c r="AH257" s="2">
        <v>10</v>
      </c>
      <c r="AI257" t="s">
        <v>45</v>
      </c>
    </row>
    <row r="258" spans="1:35" x14ac:dyDescent="0.3">
      <c r="A258" s="2" t="s">
        <v>35</v>
      </c>
      <c r="B258" s="2" t="s">
        <v>829</v>
      </c>
      <c r="C258" s="2" t="s">
        <v>830</v>
      </c>
      <c r="D258" s="2" t="s">
        <v>109</v>
      </c>
      <c r="E258" s="2" t="s">
        <v>831</v>
      </c>
      <c r="F258" s="2">
        <v>1981</v>
      </c>
      <c r="G258" s="2">
        <v>299</v>
      </c>
      <c r="H258" s="2">
        <v>21</v>
      </c>
      <c r="I258" s="2">
        <v>48</v>
      </c>
      <c r="J258" s="2">
        <v>28</v>
      </c>
      <c r="K258" s="2">
        <v>58</v>
      </c>
      <c r="L258" s="2">
        <f t="shared" ref="L258:L321" ca="1" si="32">IF((YEAR(TODAY())-F258)&lt;=0,1,YEAR(TODAY())-F258)</f>
        <v>45</v>
      </c>
      <c r="M258" s="2">
        <v>29</v>
      </c>
      <c r="N258" s="2">
        <v>90</v>
      </c>
      <c r="O258" s="2">
        <v>3225</v>
      </c>
      <c r="P258" s="2">
        <f t="shared" ref="P258:P321" ca="1" si="33">IFERROR(M258/L258,0)</f>
        <v>0.64444444444444449</v>
      </c>
      <c r="Q258" s="2">
        <f t="shared" ref="Q258:Q321" ca="1" si="34">IFERROR((100/G258)*(M258-0.1*H258+0.5*K258+P258),0)</f>
        <v>18.911185432924562</v>
      </c>
      <c r="R258" s="2">
        <v>12.6737</v>
      </c>
      <c r="S258" s="2">
        <f t="shared" si="31"/>
        <v>31.369352173913043</v>
      </c>
      <c r="T258" s="2">
        <v>29</v>
      </c>
      <c r="U258" s="2">
        <v>44</v>
      </c>
      <c r="V258" s="2">
        <v>55.241399999999999</v>
      </c>
      <c r="W258" s="2">
        <f t="shared" ref="W258:W321" si="35">IFERROR(SQRT(V258*T258),0)</f>
        <v>40.024999687695185</v>
      </c>
      <c r="X258" s="2">
        <v>8</v>
      </c>
      <c r="Y258" s="2">
        <f t="shared" ref="Y258:Y321" si="36">IFERROR(SQRT(T258*U258),0)</f>
        <v>35.7211421989835</v>
      </c>
      <c r="Z258" s="2">
        <v>43</v>
      </c>
      <c r="AA258" s="2">
        <f t="shared" ref="AA258:AA321" si="37">IFERROR(SQRT(T258*Z258),0)</f>
        <v>35.312887166019152</v>
      </c>
      <c r="AB258" s="2">
        <f t="shared" ref="AB258:AB321" si="38">IFERROR(SQRT(MAX(V258*T258-T258^2,0)),0)</f>
        <v>27.586239323256802</v>
      </c>
      <c r="AC258" s="2">
        <v>133.19159999999999</v>
      </c>
      <c r="AD258" s="2">
        <v>19</v>
      </c>
      <c r="AE258" s="2">
        <v>8</v>
      </c>
      <c r="AF258" s="2">
        <v>25</v>
      </c>
      <c r="AG258" s="2">
        <v>14</v>
      </c>
      <c r="AH258" s="2">
        <v>8</v>
      </c>
      <c r="AI258" t="s">
        <v>93</v>
      </c>
    </row>
    <row r="259" spans="1:35" x14ac:dyDescent="0.3">
      <c r="A259" s="2" t="s">
        <v>35</v>
      </c>
      <c r="B259" s="2" t="s">
        <v>832</v>
      </c>
      <c r="C259" s="2" t="s">
        <v>833</v>
      </c>
      <c r="D259" s="2" t="s">
        <v>74</v>
      </c>
      <c r="E259" s="2" t="s">
        <v>834</v>
      </c>
      <c r="F259" s="2">
        <v>1993</v>
      </c>
      <c r="G259" s="2">
        <v>113</v>
      </c>
      <c r="H259" s="2">
        <v>13</v>
      </c>
      <c r="I259" s="2">
        <v>20</v>
      </c>
      <c r="J259" s="2">
        <v>72</v>
      </c>
      <c r="K259" s="2">
        <v>80</v>
      </c>
      <c r="L259" s="2">
        <f t="shared" ca="1" si="32"/>
        <v>33</v>
      </c>
      <c r="M259" s="2">
        <v>24</v>
      </c>
      <c r="N259" s="2">
        <v>49</v>
      </c>
      <c r="O259" s="2">
        <v>1835</v>
      </c>
      <c r="P259" s="2">
        <f t="shared" ca="1" si="33"/>
        <v>0.72727272727272729</v>
      </c>
      <c r="Q259" s="2">
        <f t="shared" ca="1" si="34"/>
        <v>56.130329847144012</v>
      </c>
      <c r="R259" s="2">
        <v>12.165100000000001</v>
      </c>
      <c r="S259" s="2">
        <f t="shared" ref="S259:S322" si="39">IFERROR((100/G259)*(M259-0.1*H259+0.5*K259)+R259,0)</f>
        <v>67.651825663716821</v>
      </c>
      <c r="T259" s="2">
        <v>24</v>
      </c>
      <c r="U259" s="2">
        <v>39</v>
      </c>
      <c r="V259" s="2">
        <v>51.791699999999999</v>
      </c>
      <c r="W259" s="2">
        <f t="shared" si="35"/>
        <v>35.256216473127118</v>
      </c>
      <c r="X259" s="2">
        <v>7</v>
      </c>
      <c r="Y259" s="2">
        <f t="shared" si="36"/>
        <v>30.594117081556711</v>
      </c>
      <c r="Z259" s="2">
        <v>45.5</v>
      </c>
      <c r="AA259" s="2">
        <f t="shared" si="37"/>
        <v>33.045423283716609</v>
      </c>
      <c r="AB259" s="2">
        <f t="shared" si="38"/>
        <v>25.826358628347126</v>
      </c>
      <c r="AC259" s="2">
        <v>107.429</v>
      </c>
      <c r="AD259" s="2">
        <v>23</v>
      </c>
      <c r="AE259" s="2">
        <v>6</v>
      </c>
      <c r="AF259" s="2">
        <v>4</v>
      </c>
      <c r="AG259" s="2">
        <v>7</v>
      </c>
      <c r="AH259" s="2">
        <v>20</v>
      </c>
      <c r="AI259" t="s">
        <v>45</v>
      </c>
    </row>
    <row r="260" spans="1:35" x14ac:dyDescent="0.3">
      <c r="A260" s="2" t="s">
        <v>35</v>
      </c>
      <c r="B260" s="2" t="s">
        <v>835</v>
      </c>
      <c r="C260" s="2" t="s">
        <v>836</v>
      </c>
      <c r="D260" s="2" t="s">
        <v>67</v>
      </c>
      <c r="E260" s="2" t="s">
        <v>837</v>
      </c>
      <c r="F260" s="2">
        <v>1996</v>
      </c>
      <c r="G260" s="2">
        <v>9</v>
      </c>
      <c r="H260" s="2">
        <v>2</v>
      </c>
      <c r="I260" s="2">
        <v>5</v>
      </c>
      <c r="J260" s="2">
        <v>2</v>
      </c>
      <c r="K260" s="2">
        <v>5</v>
      </c>
      <c r="L260" s="2">
        <f t="shared" ca="1" si="32"/>
        <v>30</v>
      </c>
      <c r="M260" s="2">
        <v>2</v>
      </c>
      <c r="N260" s="2">
        <v>0</v>
      </c>
      <c r="O260" s="2">
        <v>13</v>
      </c>
      <c r="P260" s="2">
        <f t="shared" ca="1" si="33"/>
        <v>6.6666666666666666E-2</v>
      </c>
      <c r="Q260" s="2">
        <f t="shared" ca="1" si="34"/>
        <v>48.518518518518512</v>
      </c>
      <c r="R260" s="2">
        <v>1.2041999999999999</v>
      </c>
      <c r="S260" s="2">
        <f t="shared" si="39"/>
        <v>48.981977777777772</v>
      </c>
      <c r="T260" s="2">
        <v>2</v>
      </c>
      <c r="U260" s="2">
        <v>3</v>
      </c>
      <c r="V260" s="2">
        <v>4</v>
      </c>
      <c r="W260" s="2">
        <f t="shared" si="35"/>
        <v>2.8284271247461903</v>
      </c>
      <c r="X260" s="2">
        <v>1</v>
      </c>
      <c r="Y260" s="2">
        <f t="shared" si="36"/>
        <v>2.4494897427831779</v>
      </c>
      <c r="Z260" s="2">
        <v>4</v>
      </c>
      <c r="AA260" s="2">
        <f t="shared" si="37"/>
        <v>2.8284271247461903</v>
      </c>
      <c r="AB260" s="2">
        <f t="shared" si="38"/>
        <v>2</v>
      </c>
      <c r="AC260" s="2">
        <v>3.1623000000000001</v>
      </c>
      <c r="AD260" s="2">
        <v>1</v>
      </c>
      <c r="AE260" s="2">
        <v>2</v>
      </c>
      <c r="AF260" s="2">
        <v>0</v>
      </c>
      <c r="AG260" s="2">
        <v>2</v>
      </c>
      <c r="AH260" s="2">
        <v>0</v>
      </c>
      <c r="AI260" t="s">
        <v>40</v>
      </c>
    </row>
    <row r="261" spans="1:35" x14ac:dyDescent="0.3">
      <c r="A261" s="2" t="s">
        <v>35</v>
      </c>
      <c r="B261" s="2" t="s">
        <v>838</v>
      </c>
      <c r="C261" s="2" t="s">
        <v>839</v>
      </c>
      <c r="D261" s="2" t="s">
        <v>91</v>
      </c>
      <c r="E261" s="2" t="s">
        <v>840</v>
      </c>
      <c r="F261" s="2">
        <v>1971</v>
      </c>
      <c r="G261" s="2">
        <v>76</v>
      </c>
      <c r="H261" s="2">
        <v>22</v>
      </c>
      <c r="I261" s="2">
        <v>30</v>
      </c>
      <c r="J261" s="2">
        <v>18</v>
      </c>
      <c r="K261" s="2">
        <v>38</v>
      </c>
      <c r="L261" s="2">
        <f t="shared" ca="1" si="32"/>
        <v>55</v>
      </c>
      <c r="M261" s="2">
        <v>29</v>
      </c>
      <c r="N261" s="2">
        <v>50</v>
      </c>
      <c r="O261" s="2">
        <v>2163</v>
      </c>
      <c r="P261" s="2">
        <f t="shared" ca="1" si="33"/>
        <v>0.52727272727272723</v>
      </c>
      <c r="Q261" s="2">
        <f t="shared" ca="1" si="34"/>
        <v>60.956937799043061</v>
      </c>
      <c r="R261" s="2">
        <v>12.020899999999999</v>
      </c>
      <c r="S261" s="2">
        <f t="shared" si="39"/>
        <v>72.284057894736847</v>
      </c>
      <c r="T261" s="2">
        <v>29</v>
      </c>
      <c r="U261" s="2">
        <v>45</v>
      </c>
      <c r="V261" s="2">
        <v>58.172400000000003</v>
      </c>
      <c r="W261" s="2">
        <f t="shared" si="35"/>
        <v>41.073100686459014</v>
      </c>
      <c r="X261" s="2">
        <v>8</v>
      </c>
      <c r="Y261" s="2">
        <f t="shared" si="36"/>
        <v>36.124783736376884</v>
      </c>
      <c r="Z261" s="2">
        <v>46</v>
      </c>
      <c r="AA261" s="2">
        <f t="shared" si="37"/>
        <v>36.523964735499348</v>
      </c>
      <c r="AB261" s="2">
        <f t="shared" si="38"/>
        <v>29.086072268355522</v>
      </c>
      <c r="AC261" s="2">
        <v>139.01079999999999</v>
      </c>
      <c r="AD261" s="2">
        <v>23</v>
      </c>
      <c r="AE261" s="2">
        <v>13</v>
      </c>
      <c r="AF261" s="2">
        <v>7</v>
      </c>
      <c r="AG261" s="2">
        <v>13</v>
      </c>
      <c r="AH261" s="2">
        <v>14</v>
      </c>
      <c r="AI261" t="s">
        <v>93</v>
      </c>
    </row>
    <row r="262" spans="1:35" x14ac:dyDescent="0.3">
      <c r="A262" s="2" t="s">
        <v>35</v>
      </c>
      <c r="B262" s="2" t="s">
        <v>841</v>
      </c>
      <c r="C262" s="2" t="s">
        <v>842</v>
      </c>
      <c r="D262" s="2" t="s">
        <v>43</v>
      </c>
      <c r="E262" s="2" t="s">
        <v>843</v>
      </c>
      <c r="F262" s="2">
        <v>1999</v>
      </c>
      <c r="G262" s="2">
        <v>14</v>
      </c>
      <c r="H262" s="2">
        <v>0</v>
      </c>
      <c r="I262" s="2">
        <v>14</v>
      </c>
      <c r="J262" s="2">
        <v>11</v>
      </c>
      <c r="K262" s="2">
        <v>14</v>
      </c>
      <c r="L262" s="2">
        <f t="shared" ca="1" si="32"/>
        <v>27</v>
      </c>
      <c r="M262" s="2">
        <v>3</v>
      </c>
      <c r="N262" s="2">
        <v>1</v>
      </c>
      <c r="O262" s="2">
        <v>33</v>
      </c>
      <c r="P262" s="2">
        <f t="shared" ca="1" si="33"/>
        <v>0.1111111111111111</v>
      </c>
      <c r="Q262" s="2">
        <f t="shared" ca="1" si="34"/>
        <v>72.222222222222229</v>
      </c>
      <c r="R262" s="2">
        <v>1.8833</v>
      </c>
      <c r="S262" s="2">
        <f t="shared" si="39"/>
        <v>73.311871428571436</v>
      </c>
      <c r="T262" s="2">
        <v>3</v>
      </c>
      <c r="U262" s="2">
        <v>5</v>
      </c>
      <c r="V262" s="2">
        <v>9.6667000000000005</v>
      </c>
      <c r="W262" s="2">
        <f t="shared" si="35"/>
        <v>5.3851740918934095</v>
      </c>
      <c r="X262" s="2">
        <v>2</v>
      </c>
      <c r="Y262" s="2">
        <f t="shared" si="36"/>
        <v>3.872983346207417</v>
      </c>
      <c r="Z262" s="2">
        <v>4</v>
      </c>
      <c r="AA262" s="2">
        <f t="shared" si="37"/>
        <v>3.4641016151377544</v>
      </c>
      <c r="AB262" s="2">
        <f t="shared" si="38"/>
        <v>4.4721471353254918</v>
      </c>
      <c r="AC262" s="2">
        <v>6.2450000000000001</v>
      </c>
      <c r="AD262" s="2">
        <v>2</v>
      </c>
      <c r="AE262" s="2">
        <v>1</v>
      </c>
      <c r="AF262" s="2">
        <v>0</v>
      </c>
      <c r="AG262" s="2">
        <v>0</v>
      </c>
      <c r="AH262" s="2">
        <v>2</v>
      </c>
      <c r="AI262" t="s">
        <v>45</v>
      </c>
    </row>
    <row r="263" spans="1:35" x14ac:dyDescent="0.3">
      <c r="A263" s="2" t="s">
        <v>35</v>
      </c>
      <c r="B263" s="2" t="s">
        <v>844</v>
      </c>
      <c r="C263" s="2" t="s">
        <v>845</v>
      </c>
      <c r="D263" s="2" t="s">
        <v>43</v>
      </c>
      <c r="E263" s="2" t="s">
        <v>846</v>
      </c>
      <c r="F263" s="2">
        <v>1999</v>
      </c>
      <c r="G263" s="2">
        <v>39</v>
      </c>
      <c r="H263" s="2">
        <v>0</v>
      </c>
      <c r="I263" s="2">
        <v>31</v>
      </c>
      <c r="J263" s="2">
        <v>29</v>
      </c>
      <c r="K263" s="2">
        <v>31</v>
      </c>
      <c r="L263" s="2">
        <f t="shared" ca="1" si="32"/>
        <v>27</v>
      </c>
      <c r="M263" s="2">
        <v>5</v>
      </c>
      <c r="N263" s="2">
        <v>3</v>
      </c>
      <c r="O263" s="2">
        <v>156</v>
      </c>
      <c r="P263" s="2">
        <f t="shared" ca="1" si="33"/>
        <v>0.18518518518518517</v>
      </c>
      <c r="Q263" s="2">
        <f t="shared" ca="1" si="34"/>
        <v>53.038936372269717</v>
      </c>
      <c r="R263" s="2">
        <v>2.6282000000000001</v>
      </c>
      <c r="S263" s="2">
        <f t="shared" si="39"/>
        <v>55.192302564102569</v>
      </c>
      <c r="T263" s="2">
        <v>5</v>
      </c>
      <c r="U263" s="2">
        <v>11</v>
      </c>
      <c r="V263" s="2">
        <v>24.2</v>
      </c>
      <c r="W263" s="2">
        <f t="shared" si="35"/>
        <v>11</v>
      </c>
      <c r="X263" s="2">
        <v>3</v>
      </c>
      <c r="Y263" s="2">
        <f t="shared" si="36"/>
        <v>7.416198487095663</v>
      </c>
      <c r="Z263" s="2">
        <v>27</v>
      </c>
      <c r="AA263" s="2">
        <f t="shared" si="37"/>
        <v>11.61895003862225</v>
      </c>
      <c r="AB263" s="2">
        <f t="shared" si="38"/>
        <v>9.7979589711327115</v>
      </c>
      <c r="AC263" s="2">
        <v>15.7797</v>
      </c>
      <c r="AD263" s="2">
        <v>5</v>
      </c>
      <c r="AE263" s="2">
        <v>0</v>
      </c>
      <c r="AF263" s="2">
        <v>2</v>
      </c>
      <c r="AG263" s="2">
        <v>1</v>
      </c>
      <c r="AH263" s="2">
        <v>4</v>
      </c>
      <c r="AI263" t="s">
        <v>45</v>
      </c>
    </row>
    <row r="264" spans="1:35" x14ac:dyDescent="0.3">
      <c r="A264" s="2" t="s">
        <v>35</v>
      </c>
      <c r="B264" s="2" t="s">
        <v>847</v>
      </c>
      <c r="C264" s="2" t="s">
        <v>848</v>
      </c>
      <c r="D264" s="2" t="s">
        <v>43</v>
      </c>
      <c r="E264" s="2" t="s">
        <v>849</v>
      </c>
      <c r="F264" s="2">
        <v>2005</v>
      </c>
      <c r="G264" s="2">
        <v>4</v>
      </c>
      <c r="H264" s="2">
        <v>0</v>
      </c>
      <c r="I264" s="2">
        <v>4</v>
      </c>
      <c r="J264" s="2">
        <v>4</v>
      </c>
      <c r="K264" s="2">
        <v>4</v>
      </c>
      <c r="L264" s="2">
        <f t="shared" ca="1" si="32"/>
        <v>21</v>
      </c>
      <c r="M264" s="2">
        <v>1</v>
      </c>
      <c r="N264" s="2">
        <v>0</v>
      </c>
      <c r="O264" s="2">
        <v>6</v>
      </c>
      <c r="P264" s="2">
        <f t="shared" ca="1" si="33"/>
        <v>4.7619047619047616E-2</v>
      </c>
      <c r="Q264" s="2">
        <f t="shared" ca="1" si="34"/>
        <v>76.19047619047619</v>
      </c>
      <c r="R264" s="2">
        <v>0.57740000000000002</v>
      </c>
      <c r="S264" s="2">
        <f t="shared" si="39"/>
        <v>75.577399999999997</v>
      </c>
      <c r="T264" s="2">
        <v>1</v>
      </c>
      <c r="U264" s="2">
        <v>2</v>
      </c>
      <c r="V264" s="2">
        <v>4</v>
      </c>
      <c r="W264" s="2">
        <f t="shared" si="35"/>
        <v>2</v>
      </c>
      <c r="X264" s="2">
        <v>1</v>
      </c>
      <c r="Y264" s="2">
        <f t="shared" si="36"/>
        <v>1.4142135623730951</v>
      </c>
      <c r="Z264" s="2">
        <v>4</v>
      </c>
      <c r="AA264" s="2">
        <f t="shared" si="37"/>
        <v>2</v>
      </c>
      <c r="AB264" s="2">
        <f t="shared" si="38"/>
        <v>1.7320508075688772</v>
      </c>
      <c r="AC264" s="2">
        <v>2</v>
      </c>
      <c r="AD264" s="2">
        <v>1</v>
      </c>
      <c r="AE264" s="2">
        <v>0</v>
      </c>
      <c r="AF264" s="2">
        <v>0</v>
      </c>
      <c r="AG264" s="2">
        <v>0</v>
      </c>
      <c r="AH264" s="2">
        <v>1</v>
      </c>
      <c r="AI264" t="s">
        <v>45</v>
      </c>
    </row>
    <row r="265" spans="1:35" x14ac:dyDescent="0.3">
      <c r="A265" s="2" t="s">
        <v>35</v>
      </c>
      <c r="B265" s="2" t="s">
        <v>850</v>
      </c>
      <c r="C265" s="2" t="s">
        <v>851</v>
      </c>
      <c r="D265" s="2" t="s">
        <v>99</v>
      </c>
      <c r="E265" s="2" t="s">
        <v>852</v>
      </c>
      <c r="F265" s="2">
        <v>2011</v>
      </c>
      <c r="G265" s="2">
        <v>86</v>
      </c>
      <c r="H265" s="2">
        <v>45</v>
      </c>
      <c r="I265" s="2">
        <v>13</v>
      </c>
      <c r="J265" s="2">
        <v>2</v>
      </c>
      <c r="K265" s="2">
        <v>14</v>
      </c>
      <c r="L265" s="2">
        <f t="shared" ca="1" si="32"/>
        <v>15</v>
      </c>
      <c r="M265" s="2">
        <v>18</v>
      </c>
      <c r="N265" s="2">
        <v>27</v>
      </c>
      <c r="O265" s="2">
        <v>854</v>
      </c>
      <c r="P265" s="2">
        <f t="shared" ca="1" si="33"/>
        <v>1.2</v>
      </c>
      <c r="Q265" s="2">
        <f t="shared" ca="1" si="34"/>
        <v>25.232558139534884</v>
      </c>
      <c r="R265" s="2">
        <v>10.5227</v>
      </c>
      <c r="S265" s="2">
        <f t="shared" si="39"/>
        <v>34.359909302325583</v>
      </c>
      <c r="T265" s="2">
        <v>18</v>
      </c>
      <c r="U265" s="2">
        <v>27</v>
      </c>
      <c r="V265" s="2">
        <v>34.722200000000001</v>
      </c>
      <c r="W265" s="2">
        <f t="shared" si="35"/>
        <v>24.99999199999872</v>
      </c>
      <c r="X265" s="2">
        <v>5</v>
      </c>
      <c r="Y265" s="2">
        <f t="shared" si="36"/>
        <v>22.045407685048602</v>
      </c>
      <c r="Z265" s="2">
        <v>30.5</v>
      </c>
      <c r="AA265" s="2">
        <f t="shared" si="37"/>
        <v>23.430749027719962</v>
      </c>
      <c r="AB265" s="2">
        <f t="shared" si="38"/>
        <v>17.349340045085288</v>
      </c>
      <c r="AC265" s="2">
        <v>68.293499999999995</v>
      </c>
      <c r="AD265" s="2">
        <v>11</v>
      </c>
      <c r="AE265" s="2">
        <v>8</v>
      </c>
      <c r="AF265" s="2">
        <v>9</v>
      </c>
      <c r="AG265" s="2">
        <v>11</v>
      </c>
      <c r="AH265" s="2">
        <v>1</v>
      </c>
      <c r="AI265" t="s">
        <v>45</v>
      </c>
    </row>
    <row r="266" spans="1:35" x14ac:dyDescent="0.3">
      <c r="A266" s="2" t="s">
        <v>35</v>
      </c>
      <c r="B266" s="2" t="s">
        <v>853</v>
      </c>
      <c r="C266" s="2" t="s">
        <v>854</v>
      </c>
      <c r="D266" s="2" t="s">
        <v>109</v>
      </c>
      <c r="E266" s="2" t="s">
        <v>855</v>
      </c>
      <c r="F266" s="2">
        <v>2008</v>
      </c>
      <c r="G266" s="2">
        <v>38</v>
      </c>
      <c r="H266" s="2">
        <v>1</v>
      </c>
      <c r="I266" s="2">
        <v>23</v>
      </c>
      <c r="J266" s="2">
        <v>15</v>
      </c>
      <c r="K266" s="2">
        <v>24</v>
      </c>
      <c r="L266" s="2">
        <f t="shared" ca="1" si="32"/>
        <v>18</v>
      </c>
      <c r="M266" s="2">
        <v>8</v>
      </c>
      <c r="N266" s="2">
        <v>8</v>
      </c>
      <c r="O266" s="2">
        <v>198</v>
      </c>
      <c r="P266" s="2">
        <f t="shared" ca="1" si="33"/>
        <v>0.44444444444444442</v>
      </c>
      <c r="Q266" s="2">
        <f t="shared" ca="1" si="34"/>
        <v>53.538011695906427</v>
      </c>
      <c r="R266" s="2">
        <v>3.8285999999999998</v>
      </c>
      <c r="S266" s="2">
        <f t="shared" si="39"/>
        <v>56.197021052631584</v>
      </c>
      <c r="T266" s="2">
        <v>8</v>
      </c>
      <c r="U266" s="2">
        <v>13</v>
      </c>
      <c r="V266" s="2">
        <v>19.75</v>
      </c>
      <c r="W266" s="2">
        <f t="shared" si="35"/>
        <v>12.569805089976535</v>
      </c>
      <c r="X266" s="2">
        <v>4</v>
      </c>
      <c r="Y266" s="2">
        <f t="shared" si="36"/>
        <v>10.198039027185569</v>
      </c>
      <c r="Z266" s="2">
        <v>21</v>
      </c>
      <c r="AA266" s="2">
        <f t="shared" si="37"/>
        <v>12.961481396815721</v>
      </c>
      <c r="AB266" s="2">
        <f t="shared" si="38"/>
        <v>9.6953597148326587</v>
      </c>
      <c r="AC266" s="2">
        <v>24.351600000000001</v>
      </c>
      <c r="AD266" s="2">
        <v>6</v>
      </c>
      <c r="AE266" s="2">
        <v>4</v>
      </c>
      <c r="AF266" s="2">
        <v>3</v>
      </c>
      <c r="AG266" s="2">
        <v>2</v>
      </c>
      <c r="AH266" s="2">
        <v>2</v>
      </c>
      <c r="AI266" t="s">
        <v>93</v>
      </c>
    </row>
    <row r="267" spans="1:35" x14ac:dyDescent="0.3">
      <c r="A267" s="2" t="s">
        <v>35</v>
      </c>
      <c r="B267" s="2" t="s">
        <v>856</v>
      </c>
      <c r="C267" s="2" t="s">
        <v>857</v>
      </c>
      <c r="D267" s="2" t="s">
        <v>109</v>
      </c>
      <c r="E267" s="2" t="s">
        <v>858</v>
      </c>
      <c r="F267" s="2">
        <v>2007</v>
      </c>
      <c r="G267" s="2">
        <v>32</v>
      </c>
      <c r="H267" s="2">
        <v>0</v>
      </c>
      <c r="I267" s="2">
        <v>4</v>
      </c>
      <c r="J267" s="2">
        <v>4</v>
      </c>
      <c r="K267" s="2">
        <v>5</v>
      </c>
      <c r="L267" s="2">
        <f t="shared" ca="1" si="32"/>
        <v>19</v>
      </c>
      <c r="M267" s="2">
        <v>9</v>
      </c>
      <c r="N267" s="2">
        <v>8</v>
      </c>
      <c r="O267" s="2">
        <v>199</v>
      </c>
      <c r="P267" s="2">
        <f t="shared" ca="1" si="33"/>
        <v>0.47368421052631576</v>
      </c>
      <c r="Q267" s="2">
        <f t="shared" ca="1" si="34"/>
        <v>37.417763157894733</v>
      </c>
      <c r="R267" s="2">
        <v>5.9062999999999999</v>
      </c>
      <c r="S267" s="2">
        <f t="shared" si="39"/>
        <v>41.843800000000002</v>
      </c>
      <c r="T267" s="2">
        <v>9</v>
      </c>
      <c r="U267" s="2">
        <v>13</v>
      </c>
      <c r="V267" s="2">
        <v>17</v>
      </c>
      <c r="W267" s="2">
        <f t="shared" si="35"/>
        <v>12.369316876852981</v>
      </c>
      <c r="X267" s="2">
        <v>4</v>
      </c>
      <c r="Y267" s="2">
        <f t="shared" si="36"/>
        <v>10.816653826391969</v>
      </c>
      <c r="Z267" s="2">
        <v>17</v>
      </c>
      <c r="AA267" s="2">
        <f t="shared" si="37"/>
        <v>12.369316876852981</v>
      </c>
      <c r="AB267" s="2">
        <f t="shared" si="38"/>
        <v>8.4852813742385695</v>
      </c>
      <c r="AC267" s="2">
        <v>26.057600000000001</v>
      </c>
      <c r="AD267" s="2">
        <v>5</v>
      </c>
      <c r="AE267" s="2">
        <v>1</v>
      </c>
      <c r="AF267" s="2">
        <v>4</v>
      </c>
      <c r="AG267" s="2">
        <v>6</v>
      </c>
      <c r="AH267" s="2">
        <v>2</v>
      </c>
      <c r="AI267" t="s">
        <v>93</v>
      </c>
    </row>
    <row r="268" spans="1:35" x14ac:dyDescent="0.3">
      <c r="A268" s="2" t="s">
        <v>35</v>
      </c>
      <c r="B268" s="2" t="s">
        <v>859</v>
      </c>
      <c r="C268" s="2" t="s">
        <v>860</v>
      </c>
      <c r="D268" s="2" t="s">
        <v>43</v>
      </c>
      <c r="E268" s="2" t="s">
        <v>861</v>
      </c>
      <c r="F268" s="2">
        <v>1966</v>
      </c>
      <c r="G268" s="2">
        <v>33</v>
      </c>
      <c r="H268" s="2">
        <v>3</v>
      </c>
      <c r="I268" s="2">
        <v>24</v>
      </c>
      <c r="J268" s="2">
        <v>10</v>
      </c>
      <c r="K268" s="2">
        <v>25</v>
      </c>
      <c r="L268" s="2">
        <f t="shared" ca="1" si="32"/>
        <v>60</v>
      </c>
      <c r="M268" s="2">
        <v>3</v>
      </c>
      <c r="N268" s="2">
        <v>1</v>
      </c>
      <c r="O268" s="2">
        <v>114</v>
      </c>
      <c r="P268" s="2">
        <f t="shared" ca="1" si="33"/>
        <v>0.05</v>
      </c>
      <c r="Q268" s="2">
        <f t="shared" ca="1" si="34"/>
        <v>46.212121212121211</v>
      </c>
      <c r="R268" s="2">
        <v>2.3355000000000001</v>
      </c>
      <c r="S268" s="2">
        <f t="shared" si="39"/>
        <v>48.396106060606058</v>
      </c>
      <c r="T268" s="2">
        <v>3</v>
      </c>
      <c r="U268" s="2">
        <v>10</v>
      </c>
      <c r="V268" s="2">
        <v>35.333300000000001</v>
      </c>
      <c r="W268" s="2">
        <f t="shared" si="35"/>
        <v>10.295625284556543</v>
      </c>
      <c r="X268" s="2">
        <v>2</v>
      </c>
      <c r="Y268" s="2">
        <f t="shared" si="36"/>
        <v>5.4772255750516612</v>
      </c>
      <c r="Z268" s="2">
        <v>4</v>
      </c>
      <c r="AA268" s="2">
        <f t="shared" si="37"/>
        <v>3.4641016151377544</v>
      </c>
      <c r="AB268" s="2">
        <f t="shared" si="38"/>
        <v>9.8488527250639706</v>
      </c>
      <c r="AC268" s="2">
        <v>10.770300000000001</v>
      </c>
      <c r="AD268" s="2">
        <v>2</v>
      </c>
      <c r="AE268" s="2">
        <v>2</v>
      </c>
      <c r="AF268" s="2">
        <v>2</v>
      </c>
      <c r="AG268" s="2">
        <v>1</v>
      </c>
      <c r="AH268" s="2">
        <v>1</v>
      </c>
      <c r="AI268" t="s">
        <v>45</v>
      </c>
    </row>
    <row r="269" spans="1:35" x14ac:dyDescent="0.3">
      <c r="A269" s="2" t="s">
        <v>35</v>
      </c>
      <c r="B269" s="2" t="s">
        <v>862</v>
      </c>
      <c r="C269" s="2" t="s">
        <v>863</v>
      </c>
      <c r="D269" s="2" t="s">
        <v>51</v>
      </c>
      <c r="E269" s="2" t="s">
        <v>864</v>
      </c>
      <c r="F269" s="2">
        <v>2014</v>
      </c>
      <c r="G269" s="2">
        <v>20</v>
      </c>
      <c r="H269" s="2">
        <v>11</v>
      </c>
      <c r="I269" s="2">
        <v>8</v>
      </c>
      <c r="J269" s="2">
        <v>1</v>
      </c>
      <c r="K269" s="2">
        <v>9</v>
      </c>
      <c r="L269" s="2">
        <f t="shared" ca="1" si="32"/>
        <v>12</v>
      </c>
      <c r="M269" s="2">
        <v>6</v>
      </c>
      <c r="N269" s="2">
        <v>3</v>
      </c>
      <c r="O269" s="2">
        <v>85</v>
      </c>
      <c r="P269" s="2">
        <f t="shared" ca="1" si="33"/>
        <v>0.5</v>
      </c>
      <c r="Q269" s="2">
        <f t="shared" ca="1" si="34"/>
        <v>49.5</v>
      </c>
      <c r="R269" s="2">
        <v>3.5423</v>
      </c>
      <c r="S269" s="2">
        <f t="shared" si="39"/>
        <v>50.542299999999997</v>
      </c>
      <c r="T269" s="2">
        <v>6</v>
      </c>
      <c r="U269" s="2">
        <v>8</v>
      </c>
      <c r="V269" s="2">
        <v>10.5</v>
      </c>
      <c r="W269" s="2">
        <f t="shared" si="35"/>
        <v>7.9372539331937721</v>
      </c>
      <c r="X269" s="2">
        <v>3</v>
      </c>
      <c r="Y269" s="2">
        <f t="shared" si="36"/>
        <v>6.9282032302755088</v>
      </c>
      <c r="Z269" s="2">
        <v>10</v>
      </c>
      <c r="AA269" s="2">
        <f t="shared" si="37"/>
        <v>7.745966692414834</v>
      </c>
      <c r="AB269" s="2">
        <f t="shared" si="38"/>
        <v>5.196152422706632</v>
      </c>
      <c r="AC269" s="2">
        <v>13.3041</v>
      </c>
      <c r="AD269" s="2">
        <v>4</v>
      </c>
      <c r="AE269" s="2">
        <v>5</v>
      </c>
      <c r="AF269" s="2">
        <v>3</v>
      </c>
      <c r="AG269" s="2">
        <v>2</v>
      </c>
      <c r="AH269" s="2">
        <v>1</v>
      </c>
      <c r="AI269" t="s">
        <v>40</v>
      </c>
    </row>
    <row r="270" spans="1:35" x14ac:dyDescent="0.3">
      <c r="A270" s="2" t="s">
        <v>35</v>
      </c>
      <c r="B270" s="2" t="s">
        <v>865</v>
      </c>
      <c r="C270" s="2" t="s">
        <v>866</v>
      </c>
      <c r="D270" s="2" t="s">
        <v>38</v>
      </c>
      <c r="E270" s="2" t="s">
        <v>867</v>
      </c>
      <c r="F270" s="2">
        <v>2003</v>
      </c>
      <c r="G270" s="2">
        <v>71</v>
      </c>
      <c r="H270" s="2">
        <v>43</v>
      </c>
      <c r="I270" s="2">
        <v>10</v>
      </c>
      <c r="J270" s="2">
        <v>29</v>
      </c>
      <c r="K270" s="2">
        <v>35</v>
      </c>
      <c r="L270" s="2">
        <f t="shared" ca="1" si="32"/>
        <v>23</v>
      </c>
      <c r="M270" s="2">
        <v>26</v>
      </c>
      <c r="N270" s="2">
        <v>38</v>
      </c>
      <c r="O270" s="2">
        <v>2881</v>
      </c>
      <c r="P270" s="2">
        <f t="shared" ca="1" si="33"/>
        <v>1.1304347826086956</v>
      </c>
      <c r="Q270" s="2">
        <f t="shared" ca="1" si="34"/>
        <v>56.803429271279853</v>
      </c>
      <c r="R270" s="2">
        <v>15.0219</v>
      </c>
      <c r="S270" s="2">
        <f t="shared" si="39"/>
        <v>70.233167605633795</v>
      </c>
      <c r="T270" s="2">
        <v>26</v>
      </c>
      <c r="U270" s="2">
        <v>53</v>
      </c>
      <c r="V270" s="2">
        <v>100.0385</v>
      </c>
      <c r="W270" s="2">
        <f t="shared" si="35"/>
        <v>51.000009803920626</v>
      </c>
      <c r="X270" s="2">
        <v>9</v>
      </c>
      <c r="Y270" s="2">
        <f t="shared" si="36"/>
        <v>37.12142238654117</v>
      </c>
      <c r="Z270" s="2">
        <v>70.5</v>
      </c>
      <c r="AA270" s="2">
        <f t="shared" si="37"/>
        <v>42.813549257215293</v>
      </c>
      <c r="AB270" s="2">
        <f t="shared" si="38"/>
        <v>43.874833333016781</v>
      </c>
      <c r="AC270" s="2">
        <v>144.79990000000001</v>
      </c>
      <c r="AD270" s="2">
        <v>17</v>
      </c>
      <c r="AE270" s="2">
        <v>2</v>
      </c>
      <c r="AF270" s="2">
        <v>4</v>
      </c>
      <c r="AG270" s="2">
        <v>17</v>
      </c>
      <c r="AH270" s="2">
        <v>13</v>
      </c>
      <c r="AI270" t="s">
        <v>40</v>
      </c>
    </row>
    <row r="271" spans="1:35" x14ac:dyDescent="0.3">
      <c r="A271" s="2" t="s">
        <v>35</v>
      </c>
      <c r="B271" s="2" t="s">
        <v>868</v>
      </c>
      <c r="C271" s="2" t="s">
        <v>869</v>
      </c>
      <c r="D271" s="2" t="s">
        <v>109</v>
      </c>
      <c r="E271" s="2" t="s">
        <v>870</v>
      </c>
      <c r="F271" s="2">
        <v>1991</v>
      </c>
      <c r="G271" s="2">
        <v>109</v>
      </c>
      <c r="H271" s="2">
        <v>33</v>
      </c>
      <c r="I271" s="2">
        <v>22</v>
      </c>
      <c r="J271" s="2">
        <v>16</v>
      </c>
      <c r="K271" s="2">
        <v>36</v>
      </c>
      <c r="L271" s="2">
        <f t="shared" ca="1" si="32"/>
        <v>35</v>
      </c>
      <c r="M271" s="2">
        <v>22</v>
      </c>
      <c r="N271" s="2">
        <v>37</v>
      </c>
      <c r="O271" s="2">
        <v>1693</v>
      </c>
      <c r="P271" s="2">
        <f t="shared" ca="1" si="33"/>
        <v>0.62857142857142856</v>
      </c>
      <c r="Q271" s="2">
        <f t="shared" ca="1" si="34"/>
        <v>34.246395806028836</v>
      </c>
      <c r="R271" s="2">
        <v>13.5184</v>
      </c>
      <c r="S271" s="2">
        <f t="shared" si="39"/>
        <v>47.188124770642204</v>
      </c>
      <c r="T271" s="2">
        <v>22</v>
      </c>
      <c r="U271" s="2">
        <v>38</v>
      </c>
      <c r="V271" s="2">
        <v>58.545499999999997</v>
      </c>
      <c r="W271" s="2">
        <f t="shared" si="35"/>
        <v>35.888730821805332</v>
      </c>
      <c r="X271" s="2">
        <v>6</v>
      </c>
      <c r="Y271" s="2">
        <f t="shared" si="36"/>
        <v>28.913664589601922</v>
      </c>
      <c r="Z271" s="2">
        <v>32</v>
      </c>
      <c r="AA271" s="2">
        <f t="shared" si="37"/>
        <v>26.532998322843198</v>
      </c>
      <c r="AB271" s="2">
        <f t="shared" si="38"/>
        <v>28.354911391150562</v>
      </c>
      <c r="AC271" s="2">
        <v>93.712299999999999</v>
      </c>
      <c r="AD271" s="2">
        <v>15</v>
      </c>
      <c r="AE271" s="2">
        <v>12</v>
      </c>
      <c r="AF271" s="2">
        <v>7</v>
      </c>
      <c r="AG271" s="2">
        <v>13</v>
      </c>
      <c r="AH271" s="2">
        <v>7</v>
      </c>
      <c r="AI271" t="s">
        <v>93</v>
      </c>
    </row>
    <row r="272" spans="1:35" x14ac:dyDescent="0.3">
      <c r="A272" s="2" t="s">
        <v>35</v>
      </c>
      <c r="B272" s="2" t="s">
        <v>871</v>
      </c>
      <c r="C272" s="2" t="s">
        <v>872</v>
      </c>
      <c r="D272" s="2" t="s">
        <v>43</v>
      </c>
      <c r="E272" s="2" t="s">
        <v>873</v>
      </c>
      <c r="F272" s="2">
        <v>2017</v>
      </c>
      <c r="G272" s="2">
        <v>2</v>
      </c>
      <c r="H272" s="2">
        <v>0</v>
      </c>
      <c r="I272" s="2">
        <v>1</v>
      </c>
      <c r="J272" s="2">
        <v>1</v>
      </c>
      <c r="K272" s="2">
        <v>1</v>
      </c>
      <c r="L272" s="2">
        <f t="shared" ca="1" si="32"/>
        <v>9</v>
      </c>
      <c r="M272" s="2">
        <v>1</v>
      </c>
      <c r="N272" s="2">
        <v>0</v>
      </c>
      <c r="O272" s="2">
        <v>4</v>
      </c>
      <c r="P272" s="2">
        <f t="shared" ca="1" si="33"/>
        <v>0.1111111111111111</v>
      </c>
      <c r="Q272" s="2">
        <f t="shared" ca="1" si="34"/>
        <v>80.555555555555557</v>
      </c>
      <c r="R272" s="2">
        <v>0.8165</v>
      </c>
      <c r="S272" s="2">
        <f t="shared" si="39"/>
        <v>75.816500000000005</v>
      </c>
      <c r="T272" s="2">
        <v>1</v>
      </c>
      <c r="U272" s="2">
        <v>2</v>
      </c>
      <c r="V272" s="2">
        <v>4</v>
      </c>
      <c r="W272" s="2">
        <f t="shared" si="35"/>
        <v>2</v>
      </c>
      <c r="X272" s="2">
        <v>1</v>
      </c>
      <c r="Y272" s="2">
        <f t="shared" si="36"/>
        <v>1.4142135623730951</v>
      </c>
      <c r="Z272" s="2">
        <v>4</v>
      </c>
      <c r="AA272" s="2">
        <f t="shared" si="37"/>
        <v>2</v>
      </c>
      <c r="AB272" s="2">
        <f t="shared" si="38"/>
        <v>1.7320508075688772</v>
      </c>
      <c r="AC272" s="2">
        <v>2</v>
      </c>
      <c r="AD272" s="2">
        <v>1</v>
      </c>
      <c r="AE272" s="2">
        <v>0</v>
      </c>
      <c r="AF272" s="2">
        <v>0</v>
      </c>
      <c r="AG272" s="2">
        <v>1</v>
      </c>
      <c r="AH272" s="2">
        <v>0</v>
      </c>
      <c r="AI272" t="s">
        <v>45</v>
      </c>
    </row>
    <row r="273" spans="1:35" x14ac:dyDescent="0.3">
      <c r="A273" s="2" t="s">
        <v>35</v>
      </c>
      <c r="B273" s="2" t="s">
        <v>874</v>
      </c>
      <c r="C273" s="2" t="s">
        <v>875</v>
      </c>
      <c r="D273" s="2" t="s">
        <v>109</v>
      </c>
      <c r="E273" s="2" t="s">
        <v>876</v>
      </c>
      <c r="F273" s="2">
        <v>2018</v>
      </c>
      <c r="G273" s="2">
        <v>12</v>
      </c>
      <c r="H273" s="2">
        <v>2</v>
      </c>
      <c r="I273" s="2">
        <v>3</v>
      </c>
      <c r="J273" s="2">
        <v>2</v>
      </c>
      <c r="K273" s="2">
        <v>3</v>
      </c>
      <c r="L273" s="2">
        <f t="shared" ca="1" si="32"/>
        <v>8</v>
      </c>
      <c r="M273" s="2">
        <v>2</v>
      </c>
      <c r="N273" s="2">
        <v>0</v>
      </c>
      <c r="O273" s="2">
        <v>13</v>
      </c>
      <c r="P273" s="2">
        <f t="shared" ca="1" si="33"/>
        <v>0.25</v>
      </c>
      <c r="Q273" s="2">
        <f t="shared" ca="1" si="34"/>
        <v>29.583333333333336</v>
      </c>
      <c r="R273" s="2">
        <v>1.6073</v>
      </c>
      <c r="S273" s="2">
        <f t="shared" si="39"/>
        <v>29.107299999999999</v>
      </c>
      <c r="T273" s="2">
        <v>2</v>
      </c>
      <c r="U273" s="2">
        <v>3</v>
      </c>
      <c r="V273" s="2">
        <v>4.5</v>
      </c>
      <c r="W273" s="2">
        <f t="shared" si="35"/>
        <v>3</v>
      </c>
      <c r="X273" s="2">
        <v>2</v>
      </c>
      <c r="Y273" s="2">
        <f t="shared" si="36"/>
        <v>2.4494897427831779</v>
      </c>
      <c r="Z273" s="2">
        <v>4.5</v>
      </c>
      <c r="AA273" s="2">
        <f t="shared" si="37"/>
        <v>3</v>
      </c>
      <c r="AB273" s="2">
        <f t="shared" si="38"/>
        <v>2.2360679774997898</v>
      </c>
      <c r="AC273" s="2">
        <v>3.6055999999999999</v>
      </c>
      <c r="AD273" s="2">
        <v>2</v>
      </c>
      <c r="AE273" s="2">
        <v>1</v>
      </c>
      <c r="AF273" s="2">
        <v>0</v>
      </c>
      <c r="AG273" s="2">
        <v>1</v>
      </c>
      <c r="AH273" s="2">
        <v>1</v>
      </c>
      <c r="AI273" t="s">
        <v>93</v>
      </c>
    </row>
    <row r="274" spans="1:35" x14ac:dyDescent="0.3">
      <c r="A274" s="2" t="s">
        <v>35</v>
      </c>
      <c r="B274" s="2" t="s">
        <v>877</v>
      </c>
      <c r="C274" s="2" t="s">
        <v>878</v>
      </c>
      <c r="D274" s="2" t="s">
        <v>240</v>
      </c>
      <c r="E274" s="2" t="s">
        <v>879</v>
      </c>
      <c r="F274" s="2">
        <v>2010</v>
      </c>
      <c r="G274" s="2">
        <v>70</v>
      </c>
      <c r="H274" s="2">
        <v>20</v>
      </c>
      <c r="I274" s="2">
        <v>27</v>
      </c>
      <c r="J274" s="2">
        <v>19</v>
      </c>
      <c r="K274" s="2">
        <v>28</v>
      </c>
      <c r="L274" s="2">
        <f t="shared" ca="1" si="32"/>
        <v>16</v>
      </c>
      <c r="M274" s="2">
        <v>13</v>
      </c>
      <c r="N274" s="2">
        <v>14</v>
      </c>
      <c r="O274" s="2">
        <v>560</v>
      </c>
      <c r="P274" s="2">
        <f t="shared" ca="1" si="33"/>
        <v>0.8125</v>
      </c>
      <c r="Q274" s="2">
        <f t="shared" ca="1" si="34"/>
        <v>36.875</v>
      </c>
      <c r="R274" s="2">
        <v>8.6866000000000003</v>
      </c>
      <c r="S274" s="2">
        <f t="shared" si="39"/>
        <v>44.400885714285714</v>
      </c>
      <c r="T274" s="2">
        <v>13</v>
      </c>
      <c r="U274" s="2">
        <v>23</v>
      </c>
      <c r="V274" s="2">
        <v>37</v>
      </c>
      <c r="W274" s="2">
        <f t="shared" si="35"/>
        <v>21.931712199461309</v>
      </c>
      <c r="X274" s="2">
        <v>5</v>
      </c>
      <c r="Y274" s="2">
        <f t="shared" si="36"/>
        <v>17.291616465790582</v>
      </c>
      <c r="Z274" s="2">
        <v>26</v>
      </c>
      <c r="AA274" s="2">
        <f t="shared" si="37"/>
        <v>18.384776310850235</v>
      </c>
      <c r="AB274" s="2">
        <f t="shared" si="38"/>
        <v>17.663521732655695</v>
      </c>
      <c r="AC274" s="2">
        <v>46.989400000000003</v>
      </c>
      <c r="AD274" s="2">
        <v>8</v>
      </c>
      <c r="AE274" s="2">
        <v>4</v>
      </c>
      <c r="AF274" s="2">
        <v>6</v>
      </c>
      <c r="AG274" s="2">
        <v>5</v>
      </c>
      <c r="AH274" s="2">
        <v>4</v>
      </c>
      <c r="AI274" t="s">
        <v>45</v>
      </c>
    </row>
    <row r="275" spans="1:35" x14ac:dyDescent="0.3">
      <c r="A275" s="2" t="s">
        <v>35</v>
      </c>
      <c r="B275" s="2" t="s">
        <v>880</v>
      </c>
      <c r="C275" s="2" t="s">
        <v>881</v>
      </c>
      <c r="D275" s="2" t="s">
        <v>62</v>
      </c>
      <c r="E275" s="2" t="s">
        <v>882</v>
      </c>
      <c r="F275" s="2">
        <v>2000</v>
      </c>
      <c r="G275" s="2">
        <v>77</v>
      </c>
      <c r="H275" s="2">
        <v>38</v>
      </c>
      <c r="I275" s="2">
        <v>12</v>
      </c>
      <c r="J275" s="2">
        <v>27</v>
      </c>
      <c r="K275" s="2">
        <v>38</v>
      </c>
      <c r="L275" s="2">
        <f t="shared" ca="1" si="32"/>
        <v>26</v>
      </c>
      <c r="M275" s="2">
        <v>28</v>
      </c>
      <c r="N275" s="2">
        <v>48</v>
      </c>
      <c r="O275" s="2">
        <v>2137</v>
      </c>
      <c r="P275" s="2">
        <f t="shared" ca="1" si="33"/>
        <v>1.0769230769230769</v>
      </c>
      <c r="Q275" s="2">
        <f t="shared" ca="1" si="34"/>
        <v>57.502497502497512</v>
      </c>
      <c r="R275" s="2">
        <v>9.8108000000000004</v>
      </c>
      <c r="S275" s="2">
        <f t="shared" si="39"/>
        <v>65.914696103896105</v>
      </c>
      <c r="T275" s="2">
        <v>28</v>
      </c>
      <c r="U275" s="2">
        <v>45</v>
      </c>
      <c r="V275" s="2">
        <v>60.964300000000001</v>
      </c>
      <c r="W275" s="2">
        <f t="shared" si="35"/>
        <v>41.315861360983391</v>
      </c>
      <c r="X275" s="2">
        <v>8</v>
      </c>
      <c r="Y275" s="2">
        <f t="shared" si="36"/>
        <v>35.496478698597699</v>
      </c>
      <c r="Z275" s="2">
        <v>51.5</v>
      </c>
      <c r="AA275" s="2">
        <f t="shared" si="37"/>
        <v>37.97367509209505</v>
      </c>
      <c r="AB275" s="2">
        <f t="shared" si="38"/>
        <v>30.380921645006101</v>
      </c>
      <c r="AC275" s="2">
        <v>137.02189999999999</v>
      </c>
      <c r="AD275" s="2">
        <v>22</v>
      </c>
      <c r="AE275" s="2">
        <v>9</v>
      </c>
      <c r="AF275" s="2">
        <v>5</v>
      </c>
      <c r="AG275" s="2">
        <v>14</v>
      </c>
      <c r="AH275" s="2">
        <v>14</v>
      </c>
      <c r="AI275" t="s">
        <v>64</v>
      </c>
    </row>
    <row r="276" spans="1:35" x14ac:dyDescent="0.3">
      <c r="A276" s="2" t="s">
        <v>35</v>
      </c>
      <c r="B276" s="2" t="s">
        <v>883</v>
      </c>
      <c r="C276" s="2" t="s">
        <v>884</v>
      </c>
      <c r="D276" s="2" t="s">
        <v>150</v>
      </c>
      <c r="E276" s="2" t="s">
        <v>885</v>
      </c>
      <c r="F276" s="2">
        <v>2007</v>
      </c>
      <c r="G276" s="2">
        <v>58</v>
      </c>
      <c r="H276" s="2">
        <v>27</v>
      </c>
      <c r="I276" s="2">
        <v>9</v>
      </c>
      <c r="J276" s="2">
        <v>13</v>
      </c>
      <c r="K276" s="2">
        <v>19</v>
      </c>
      <c r="L276" s="2">
        <f t="shared" ca="1" si="32"/>
        <v>19</v>
      </c>
      <c r="M276" s="2">
        <v>19</v>
      </c>
      <c r="N276" s="2">
        <v>29</v>
      </c>
      <c r="O276" s="2">
        <v>854</v>
      </c>
      <c r="P276" s="2">
        <f t="shared" ca="1" si="33"/>
        <v>1</v>
      </c>
      <c r="Q276" s="2">
        <f t="shared" ca="1" si="34"/>
        <v>46.206896551724135</v>
      </c>
      <c r="R276" s="2">
        <v>9.4171999999999993</v>
      </c>
      <c r="S276" s="2">
        <f t="shared" si="39"/>
        <v>53.899958620689652</v>
      </c>
      <c r="T276" s="2">
        <v>19</v>
      </c>
      <c r="U276" s="2">
        <v>28</v>
      </c>
      <c r="V276" s="2">
        <v>35.157899999999998</v>
      </c>
      <c r="W276" s="2">
        <f t="shared" si="35"/>
        <v>25.845697901198179</v>
      </c>
      <c r="X276" s="2">
        <v>6</v>
      </c>
      <c r="Y276" s="2">
        <f t="shared" si="36"/>
        <v>23.065125189341593</v>
      </c>
      <c r="Z276" s="2">
        <v>31</v>
      </c>
      <c r="AA276" s="2">
        <f t="shared" si="37"/>
        <v>24.269322199023193</v>
      </c>
      <c r="AB276" s="2">
        <f t="shared" si="38"/>
        <v>17.521418321585728</v>
      </c>
      <c r="AC276" s="2">
        <v>72.456900000000005</v>
      </c>
      <c r="AD276" s="2">
        <v>9</v>
      </c>
      <c r="AE276" s="2">
        <v>2</v>
      </c>
      <c r="AF276" s="2">
        <v>0</v>
      </c>
      <c r="AG276" s="2">
        <v>16</v>
      </c>
      <c r="AH276" s="2">
        <v>7</v>
      </c>
      <c r="AI276" t="s">
        <v>64</v>
      </c>
    </row>
    <row r="277" spans="1:35" x14ac:dyDescent="0.3">
      <c r="A277" s="2" t="s">
        <v>35</v>
      </c>
      <c r="B277" s="2" t="s">
        <v>886</v>
      </c>
      <c r="C277" s="2" t="s">
        <v>887</v>
      </c>
      <c r="D277" s="2" t="s">
        <v>91</v>
      </c>
      <c r="E277" s="2" t="s">
        <v>888</v>
      </c>
      <c r="F277" s="2">
        <v>2019</v>
      </c>
      <c r="G277" s="2">
        <v>19</v>
      </c>
      <c r="H277" s="2">
        <v>7</v>
      </c>
      <c r="I277" s="2">
        <v>9</v>
      </c>
      <c r="J277" s="2">
        <v>0</v>
      </c>
      <c r="K277" s="2">
        <v>9</v>
      </c>
      <c r="L277" s="2">
        <f t="shared" ca="1" si="32"/>
        <v>7</v>
      </c>
      <c r="M277" s="2">
        <v>11</v>
      </c>
      <c r="N277" s="2">
        <v>11</v>
      </c>
      <c r="O277" s="2">
        <v>468</v>
      </c>
      <c r="P277" s="2">
        <f t="shared" ca="1" si="33"/>
        <v>1.5714285714285714</v>
      </c>
      <c r="Q277" s="2">
        <f t="shared" ca="1" si="34"/>
        <v>86.165413533834609</v>
      </c>
      <c r="R277" s="2">
        <v>9.9631000000000007</v>
      </c>
      <c r="S277" s="2">
        <f t="shared" si="39"/>
        <v>87.857836842105272</v>
      </c>
      <c r="T277" s="2">
        <v>11</v>
      </c>
      <c r="U277" s="2">
        <v>19</v>
      </c>
      <c r="V277" s="2">
        <v>42.090899999999998</v>
      </c>
      <c r="W277" s="2">
        <f t="shared" si="35"/>
        <v>21.517432467652824</v>
      </c>
      <c r="X277" s="2">
        <v>5</v>
      </c>
      <c r="Y277" s="2">
        <f t="shared" si="36"/>
        <v>14.456832294800961</v>
      </c>
      <c r="Z277" s="2">
        <v>35</v>
      </c>
      <c r="AA277" s="2">
        <f t="shared" si="37"/>
        <v>19.621416870348583</v>
      </c>
      <c r="AB277" s="2">
        <f t="shared" si="38"/>
        <v>18.493239305216377</v>
      </c>
      <c r="AC277" s="2">
        <v>43.127699999999997</v>
      </c>
      <c r="AD277" s="2">
        <v>8</v>
      </c>
      <c r="AE277" s="2">
        <v>6</v>
      </c>
      <c r="AF277" s="2">
        <v>2</v>
      </c>
      <c r="AG277" s="2">
        <v>4</v>
      </c>
      <c r="AH277" s="2">
        <v>0</v>
      </c>
      <c r="AI277" t="s">
        <v>93</v>
      </c>
    </row>
    <row r="278" spans="1:35" x14ac:dyDescent="0.3">
      <c r="A278" s="2" t="s">
        <v>35</v>
      </c>
      <c r="B278" s="2" t="s">
        <v>889</v>
      </c>
      <c r="C278" s="2" t="s">
        <v>890</v>
      </c>
      <c r="D278" s="2" t="s">
        <v>43</v>
      </c>
      <c r="E278" s="2" t="s">
        <v>891</v>
      </c>
      <c r="F278" s="2">
        <v>2009</v>
      </c>
      <c r="G278" s="2">
        <v>14</v>
      </c>
      <c r="H278" s="2">
        <v>0</v>
      </c>
      <c r="I278" s="2">
        <v>13</v>
      </c>
      <c r="J278" s="2">
        <v>13</v>
      </c>
      <c r="K278" s="2">
        <v>13</v>
      </c>
      <c r="L278" s="2">
        <f t="shared" ca="1" si="32"/>
        <v>17</v>
      </c>
      <c r="M278" s="2">
        <v>1</v>
      </c>
      <c r="N278" s="2">
        <v>0</v>
      </c>
      <c r="O278" s="2">
        <v>3</v>
      </c>
      <c r="P278" s="2">
        <f t="shared" ca="1" si="33"/>
        <v>5.8823529411764705E-2</v>
      </c>
      <c r="Q278" s="2">
        <f t="shared" ca="1" si="34"/>
        <v>53.991596638655466</v>
      </c>
      <c r="R278" s="2">
        <v>0.5</v>
      </c>
      <c r="S278" s="2">
        <f t="shared" si="39"/>
        <v>54.071428571428577</v>
      </c>
      <c r="T278" s="2">
        <v>1</v>
      </c>
      <c r="U278" s="2">
        <v>1</v>
      </c>
      <c r="V278" s="2">
        <v>2</v>
      </c>
      <c r="W278" s="2">
        <f t="shared" si="35"/>
        <v>1.4142135623730951</v>
      </c>
      <c r="X278" s="2">
        <v>1</v>
      </c>
      <c r="Y278" s="2">
        <f t="shared" si="36"/>
        <v>1</v>
      </c>
      <c r="Z278" s="2">
        <v>2</v>
      </c>
      <c r="AA278" s="2">
        <f t="shared" si="37"/>
        <v>1.4142135623730951</v>
      </c>
      <c r="AB278" s="2">
        <f t="shared" si="38"/>
        <v>1</v>
      </c>
      <c r="AC278" s="2">
        <v>1.4141999999999999</v>
      </c>
      <c r="AD278" s="2">
        <v>1</v>
      </c>
      <c r="AE278" s="2">
        <v>0</v>
      </c>
      <c r="AF278" s="2">
        <v>0</v>
      </c>
      <c r="AG278" s="2">
        <v>0</v>
      </c>
      <c r="AH278" s="2">
        <v>1</v>
      </c>
      <c r="AI278" t="s">
        <v>45</v>
      </c>
    </row>
    <row r="279" spans="1:35" x14ac:dyDescent="0.3">
      <c r="A279" s="2" t="s">
        <v>35</v>
      </c>
      <c r="B279" s="2" t="s">
        <v>892</v>
      </c>
      <c r="C279" s="2" t="s">
        <v>893</v>
      </c>
      <c r="D279" s="2" t="s">
        <v>43</v>
      </c>
      <c r="E279" s="2" t="s">
        <v>894</v>
      </c>
      <c r="F279" s="2">
        <v>1994</v>
      </c>
      <c r="G279" s="2">
        <v>68</v>
      </c>
      <c r="H279" s="2">
        <v>2</v>
      </c>
      <c r="I279" s="2">
        <v>61</v>
      </c>
      <c r="J279" s="2">
        <v>58</v>
      </c>
      <c r="K279" s="2">
        <v>62</v>
      </c>
      <c r="L279" s="2">
        <f t="shared" ca="1" si="32"/>
        <v>32</v>
      </c>
      <c r="M279" s="2">
        <v>6</v>
      </c>
      <c r="N279" s="2">
        <v>1</v>
      </c>
      <c r="O279" s="2">
        <v>89</v>
      </c>
      <c r="P279" s="2">
        <f t="shared" ca="1" si="33"/>
        <v>0.1875</v>
      </c>
      <c r="Q279" s="2">
        <f t="shared" ca="1" si="34"/>
        <v>54.393382352941174</v>
      </c>
      <c r="R279" s="2">
        <v>2.3037999999999998</v>
      </c>
      <c r="S279" s="2">
        <f t="shared" si="39"/>
        <v>56.421447058823532</v>
      </c>
      <c r="T279" s="2">
        <v>6</v>
      </c>
      <c r="U279" s="2">
        <v>7</v>
      </c>
      <c r="V279" s="2">
        <v>8.3332999999999995</v>
      </c>
      <c r="W279" s="2">
        <f t="shared" si="35"/>
        <v>7.0710536697157087</v>
      </c>
      <c r="X279" s="2">
        <v>2</v>
      </c>
      <c r="Y279" s="2">
        <f t="shared" si="36"/>
        <v>6.4807406984078604</v>
      </c>
      <c r="Z279" s="2">
        <v>7.5</v>
      </c>
      <c r="AA279" s="2">
        <f t="shared" si="37"/>
        <v>6.7082039324993694</v>
      </c>
      <c r="AB279" s="2">
        <f t="shared" si="38"/>
        <v>3.7416306605542982</v>
      </c>
      <c r="AC279" s="2">
        <v>12.2066</v>
      </c>
      <c r="AD279" s="2">
        <v>5</v>
      </c>
      <c r="AE279" s="2">
        <v>2</v>
      </c>
      <c r="AF279" s="2">
        <v>1</v>
      </c>
      <c r="AG279" s="2">
        <v>1</v>
      </c>
      <c r="AH279" s="2">
        <v>4</v>
      </c>
      <c r="AI279" t="s">
        <v>45</v>
      </c>
    </row>
    <row r="280" spans="1:35" x14ac:dyDescent="0.3">
      <c r="A280" s="2" t="s">
        <v>35</v>
      </c>
      <c r="B280" s="2" t="s">
        <v>895</v>
      </c>
      <c r="C280" s="2" t="s">
        <v>896</v>
      </c>
      <c r="D280" s="2" t="s">
        <v>51</v>
      </c>
      <c r="E280" s="2" t="s">
        <v>897</v>
      </c>
      <c r="F280" s="2">
        <v>2007</v>
      </c>
      <c r="G280" s="2">
        <v>13</v>
      </c>
      <c r="H280" s="2">
        <v>12</v>
      </c>
      <c r="I280" s="2">
        <v>3</v>
      </c>
      <c r="J280" s="2">
        <v>1</v>
      </c>
      <c r="K280" s="2">
        <v>3</v>
      </c>
      <c r="L280" s="2">
        <f t="shared" ca="1" si="32"/>
        <v>19</v>
      </c>
      <c r="M280" s="2">
        <v>6</v>
      </c>
      <c r="N280" s="2">
        <v>6</v>
      </c>
      <c r="O280" s="2">
        <v>142</v>
      </c>
      <c r="P280" s="2">
        <f t="shared" ca="1" si="33"/>
        <v>0.31578947368421051</v>
      </c>
      <c r="Q280" s="2">
        <f t="shared" ca="1" si="34"/>
        <v>50.890688259109311</v>
      </c>
      <c r="R280" s="2">
        <v>4.8868999999999998</v>
      </c>
      <c r="S280" s="2">
        <f t="shared" si="39"/>
        <v>53.348438461538457</v>
      </c>
      <c r="T280" s="2">
        <v>6</v>
      </c>
      <c r="U280" s="2">
        <v>11</v>
      </c>
      <c r="V280" s="2">
        <v>23.333300000000001</v>
      </c>
      <c r="W280" s="2">
        <f t="shared" si="35"/>
        <v>11.832151114653666</v>
      </c>
      <c r="X280" s="2">
        <v>3</v>
      </c>
      <c r="Y280" s="2">
        <f t="shared" si="36"/>
        <v>8.1240384046359608</v>
      </c>
      <c r="Z280" s="2">
        <v>15</v>
      </c>
      <c r="AA280" s="2">
        <f t="shared" si="37"/>
        <v>9.4868329805051381</v>
      </c>
      <c r="AB280" s="2">
        <f t="shared" si="38"/>
        <v>10.198029221374098</v>
      </c>
      <c r="AC280" s="2">
        <v>18.493200000000002</v>
      </c>
      <c r="AD280" s="2">
        <v>3</v>
      </c>
      <c r="AE280" s="2">
        <v>1</v>
      </c>
      <c r="AF280" s="2">
        <v>1</v>
      </c>
      <c r="AG280" s="2">
        <v>4</v>
      </c>
      <c r="AH280" s="2">
        <v>1</v>
      </c>
      <c r="AI280" t="s">
        <v>40</v>
      </c>
    </row>
    <row r="281" spans="1:35" x14ac:dyDescent="0.3">
      <c r="A281" s="2" t="s">
        <v>35</v>
      </c>
      <c r="B281" s="2" t="s">
        <v>898</v>
      </c>
      <c r="C281" s="2" t="s">
        <v>899</v>
      </c>
      <c r="D281" s="2" t="s">
        <v>109</v>
      </c>
      <c r="E281" s="2" t="s">
        <v>900</v>
      </c>
      <c r="F281" s="2">
        <v>2012</v>
      </c>
      <c r="G281" s="2">
        <v>29</v>
      </c>
      <c r="H281" s="2">
        <v>5</v>
      </c>
      <c r="I281" s="2">
        <v>6</v>
      </c>
      <c r="J281" s="2">
        <v>1</v>
      </c>
      <c r="K281" s="2">
        <v>6</v>
      </c>
      <c r="L281" s="2">
        <f t="shared" ca="1" si="32"/>
        <v>14</v>
      </c>
      <c r="M281" s="2">
        <v>9</v>
      </c>
      <c r="N281" s="2">
        <v>9</v>
      </c>
      <c r="O281" s="2">
        <v>561</v>
      </c>
      <c r="P281" s="2">
        <f t="shared" ca="1" si="33"/>
        <v>0.6428571428571429</v>
      </c>
      <c r="Q281" s="2">
        <f t="shared" ca="1" si="34"/>
        <v>41.871921182266007</v>
      </c>
      <c r="R281" s="2">
        <v>9.0129000000000001</v>
      </c>
      <c r="S281" s="2">
        <f t="shared" si="39"/>
        <v>48.668072413793105</v>
      </c>
      <c r="T281" s="2">
        <v>9</v>
      </c>
      <c r="U281" s="2">
        <v>23</v>
      </c>
      <c r="V281" s="2">
        <v>60.333300000000001</v>
      </c>
      <c r="W281" s="2">
        <f t="shared" si="35"/>
        <v>23.302353958345066</v>
      </c>
      <c r="X281" s="2">
        <v>5</v>
      </c>
      <c r="Y281" s="2">
        <f t="shared" si="36"/>
        <v>14.387494569938159</v>
      </c>
      <c r="Z281" s="2">
        <v>27</v>
      </c>
      <c r="AA281" s="2">
        <f t="shared" si="37"/>
        <v>15.588457268119896</v>
      </c>
      <c r="AB281" s="2">
        <f t="shared" si="38"/>
        <v>21.494178281571966</v>
      </c>
      <c r="AC281" s="2">
        <v>39.369999999999997</v>
      </c>
      <c r="AD281" s="2">
        <v>8</v>
      </c>
      <c r="AE281" s="2">
        <v>2</v>
      </c>
      <c r="AF281" s="2">
        <v>5</v>
      </c>
      <c r="AG281" s="2">
        <v>3</v>
      </c>
      <c r="AH281" s="2">
        <v>0</v>
      </c>
      <c r="AI281" t="s">
        <v>93</v>
      </c>
    </row>
    <row r="282" spans="1:35" x14ac:dyDescent="0.3">
      <c r="A282" s="2" t="s">
        <v>35</v>
      </c>
      <c r="B282" s="2" t="s">
        <v>901</v>
      </c>
      <c r="C282" s="2" t="s">
        <v>902</v>
      </c>
      <c r="D282" s="2" t="s">
        <v>91</v>
      </c>
      <c r="E282" s="2" t="s">
        <v>903</v>
      </c>
      <c r="F282" s="2">
        <v>1992</v>
      </c>
      <c r="G282" s="2">
        <v>216</v>
      </c>
      <c r="H282" s="2">
        <v>31</v>
      </c>
      <c r="I282" s="2">
        <v>26</v>
      </c>
      <c r="J282" s="2">
        <v>27</v>
      </c>
      <c r="K282" s="2">
        <v>49</v>
      </c>
      <c r="L282" s="2">
        <f t="shared" ca="1" si="32"/>
        <v>34</v>
      </c>
      <c r="M282" s="2">
        <v>32</v>
      </c>
      <c r="N282" s="2">
        <v>69</v>
      </c>
      <c r="O282" s="2">
        <v>3066</v>
      </c>
      <c r="P282" s="2">
        <f t="shared" ca="1" si="33"/>
        <v>0.94117647058823528</v>
      </c>
      <c r="Q282" s="2">
        <f t="shared" ca="1" si="34"/>
        <v>25.157952069716774</v>
      </c>
      <c r="R282" s="2">
        <v>12.4434</v>
      </c>
      <c r="S282" s="2">
        <f t="shared" si="39"/>
        <v>37.165622222222225</v>
      </c>
      <c r="T282" s="2">
        <v>32</v>
      </c>
      <c r="U282" s="2">
        <v>51</v>
      </c>
      <c r="V282" s="2">
        <v>70.5625</v>
      </c>
      <c r="W282" s="2">
        <f t="shared" si="35"/>
        <v>47.518417482066887</v>
      </c>
      <c r="X282" s="2">
        <v>8</v>
      </c>
      <c r="Y282" s="2">
        <f t="shared" si="36"/>
        <v>40.39801975344831</v>
      </c>
      <c r="Z282" s="2">
        <v>45</v>
      </c>
      <c r="AA282" s="2">
        <f t="shared" si="37"/>
        <v>37.947331922020552</v>
      </c>
      <c r="AB282" s="2">
        <f t="shared" si="38"/>
        <v>35.128336140500593</v>
      </c>
      <c r="AC282" s="2">
        <v>155.38980000000001</v>
      </c>
      <c r="AD282" s="2">
        <v>19</v>
      </c>
      <c r="AE282" s="2">
        <v>6</v>
      </c>
      <c r="AF282" s="2">
        <v>13</v>
      </c>
      <c r="AG282" s="2">
        <v>22</v>
      </c>
      <c r="AH282" s="2">
        <v>12</v>
      </c>
      <c r="AI282" t="s">
        <v>93</v>
      </c>
    </row>
    <row r="283" spans="1:35" x14ac:dyDescent="0.3">
      <c r="A283" s="2" t="s">
        <v>35</v>
      </c>
      <c r="B283" s="2" t="s">
        <v>904</v>
      </c>
      <c r="C283" s="2" t="s">
        <v>905</v>
      </c>
      <c r="D283" s="2" t="s">
        <v>240</v>
      </c>
      <c r="E283" s="2" t="s">
        <v>906</v>
      </c>
      <c r="F283" s="2">
        <v>1999</v>
      </c>
      <c r="G283" s="2">
        <v>17</v>
      </c>
      <c r="H283" s="2">
        <v>0</v>
      </c>
      <c r="I283" s="2">
        <v>11</v>
      </c>
      <c r="J283" s="2">
        <v>8</v>
      </c>
      <c r="K283" s="2">
        <v>11</v>
      </c>
      <c r="L283" s="2">
        <f t="shared" ca="1" si="32"/>
        <v>27</v>
      </c>
      <c r="M283" s="2">
        <v>3</v>
      </c>
      <c r="N283" s="2">
        <v>2</v>
      </c>
      <c r="O283" s="2">
        <v>60</v>
      </c>
      <c r="P283" s="2">
        <f t="shared" ca="1" si="33"/>
        <v>0.1111111111111111</v>
      </c>
      <c r="Q283" s="2">
        <f t="shared" ca="1" si="34"/>
        <v>50.653594771241835</v>
      </c>
      <c r="R283" s="2">
        <v>2.4466999999999999</v>
      </c>
      <c r="S283" s="2">
        <f t="shared" si="39"/>
        <v>52.4467</v>
      </c>
      <c r="T283" s="2">
        <v>3</v>
      </c>
      <c r="U283" s="2">
        <v>7</v>
      </c>
      <c r="V283" s="2">
        <v>17</v>
      </c>
      <c r="W283" s="2">
        <f t="shared" si="35"/>
        <v>7.1414284285428504</v>
      </c>
      <c r="X283" s="2">
        <v>2</v>
      </c>
      <c r="Y283" s="2">
        <f t="shared" si="36"/>
        <v>4.5825756949558398</v>
      </c>
      <c r="Z283" s="2">
        <v>19</v>
      </c>
      <c r="AA283" s="2">
        <f t="shared" si="37"/>
        <v>7.5498344352707498</v>
      </c>
      <c r="AB283" s="2">
        <f t="shared" si="38"/>
        <v>6.4807406984078604</v>
      </c>
      <c r="AC283" s="2">
        <v>8.7178000000000004</v>
      </c>
      <c r="AD283" s="2">
        <v>3</v>
      </c>
      <c r="AE283" s="2">
        <v>1</v>
      </c>
      <c r="AF283" s="2">
        <v>2</v>
      </c>
      <c r="AG283" s="2">
        <v>1</v>
      </c>
      <c r="AH283" s="2">
        <v>2</v>
      </c>
      <c r="AI283" t="s">
        <v>45</v>
      </c>
    </row>
    <row r="284" spans="1:35" x14ac:dyDescent="0.3">
      <c r="A284" s="2" t="s">
        <v>35</v>
      </c>
      <c r="B284" s="2" t="s">
        <v>907</v>
      </c>
      <c r="C284" s="2" t="s">
        <v>908</v>
      </c>
      <c r="D284" s="2" t="s">
        <v>74</v>
      </c>
      <c r="E284" s="2" t="s">
        <v>909</v>
      </c>
      <c r="F284" s="2">
        <v>1992</v>
      </c>
      <c r="G284" s="2">
        <v>56</v>
      </c>
      <c r="H284" s="2">
        <v>40</v>
      </c>
      <c r="I284" s="2">
        <v>13</v>
      </c>
      <c r="J284" s="2">
        <v>3</v>
      </c>
      <c r="K284" s="2">
        <v>15</v>
      </c>
      <c r="L284" s="2">
        <f t="shared" ca="1" si="32"/>
        <v>34</v>
      </c>
      <c r="M284" s="2">
        <v>24</v>
      </c>
      <c r="N284" s="2">
        <v>41</v>
      </c>
      <c r="O284" s="2">
        <v>2199</v>
      </c>
      <c r="P284" s="2">
        <f t="shared" ca="1" si="33"/>
        <v>0.70588235294117652</v>
      </c>
      <c r="Q284" s="2">
        <f t="shared" ca="1" si="34"/>
        <v>50.367647058823536</v>
      </c>
      <c r="R284" s="2">
        <v>17.528099999999998</v>
      </c>
      <c r="S284" s="2">
        <f t="shared" si="39"/>
        <v>66.635242857142856</v>
      </c>
      <c r="T284" s="2">
        <v>24</v>
      </c>
      <c r="U284" s="2">
        <v>46</v>
      </c>
      <c r="V284" s="2">
        <v>78.125</v>
      </c>
      <c r="W284" s="2">
        <f t="shared" si="35"/>
        <v>43.301270189221931</v>
      </c>
      <c r="X284" s="2">
        <v>8</v>
      </c>
      <c r="Y284" s="2">
        <f t="shared" si="36"/>
        <v>33.226495451672299</v>
      </c>
      <c r="Z284" s="2">
        <v>45</v>
      </c>
      <c r="AA284" s="2">
        <f t="shared" si="37"/>
        <v>32.863353450309965</v>
      </c>
      <c r="AB284" s="2">
        <f t="shared" si="38"/>
        <v>36.041642581880197</v>
      </c>
      <c r="AC284" s="2">
        <v>118.7055</v>
      </c>
      <c r="AD284" s="2">
        <v>18</v>
      </c>
      <c r="AE284" s="2">
        <v>10</v>
      </c>
      <c r="AF284" s="2">
        <v>14</v>
      </c>
      <c r="AG284" s="2">
        <v>13</v>
      </c>
      <c r="AH284" s="2">
        <v>1</v>
      </c>
      <c r="AI284" t="s">
        <v>45</v>
      </c>
    </row>
    <row r="285" spans="1:35" x14ac:dyDescent="0.3">
      <c r="A285" s="2" t="s">
        <v>35</v>
      </c>
      <c r="B285" s="2" t="s">
        <v>910</v>
      </c>
      <c r="C285" s="2" t="s">
        <v>911</v>
      </c>
      <c r="D285" s="2" t="s">
        <v>43</v>
      </c>
      <c r="E285" s="2" t="s">
        <v>912</v>
      </c>
      <c r="F285" s="2">
        <v>2022</v>
      </c>
      <c r="G285" s="2">
        <v>4</v>
      </c>
      <c r="H285" s="2">
        <v>0</v>
      </c>
      <c r="I285" s="2">
        <v>4</v>
      </c>
      <c r="J285" s="2">
        <v>4</v>
      </c>
      <c r="K285" s="2">
        <v>4</v>
      </c>
      <c r="L285" s="2">
        <f t="shared" ca="1" si="32"/>
        <v>4</v>
      </c>
      <c r="M285" s="2">
        <v>2</v>
      </c>
      <c r="N285" s="2">
        <v>0</v>
      </c>
      <c r="O285" s="2">
        <v>12</v>
      </c>
      <c r="P285" s="2">
        <f t="shared" ca="1" si="33"/>
        <v>0.5</v>
      </c>
      <c r="Q285" s="2">
        <f t="shared" ca="1" si="34"/>
        <v>112.5</v>
      </c>
      <c r="R285" s="2">
        <v>1.7888999999999999</v>
      </c>
      <c r="S285" s="2">
        <f t="shared" si="39"/>
        <v>101.7889</v>
      </c>
      <c r="T285" s="2">
        <v>2</v>
      </c>
      <c r="U285" s="2">
        <v>3</v>
      </c>
      <c r="V285" s="2">
        <v>6</v>
      </c>
      <c r="W285" s="2">
        <f t="shared" si="35"/>
        <v>3.4641016151377544</v>
      </c>
      <c r="X285" s="2">
        <v>2</v>
      </c>
      <c r="Y285" s="2">
        <f t="shared" si="36"/>
        <v>2.4494897427831779</v>
      </c>
      <c r="Z285" s="2">
        <v>6</v>
      </c>
      <c r="AA285" s="2">
        <f t="shared" si="37"/>
        <v>3.4641016151377544</v>
      </c>
      <c r="AB285" s="2">
        <f t="shared" si="38"/>
        <v>2.8284271247461903</v>
      </c>
      <c r="AC285" s="2">
        <v>4.2426000000000004</v>
      </c>
      <c r="AD285" s="2">
        <v>2</v>
      </c>
      <c r="AE285" s="2">
        <v>0</v>
      </c>
      <c r="AF285" s="2">
        <v>0</v>
      </c>
      <c r="AG285" s="2">
        <v>0</v>
      </c>
      <c r="AH285" s="2">
        <v>2</v>
      </c>
      <c r="AI285" t="s">
        <v>45</v>
      </c>
    </row>
    <row r="286" spans="1:35" x14ac:dyDescent="0.3">
      <c r="A286" s="2" t="s">
        <v>35</v>
      </c>
      <c r="B286" s="2" t="s">
        <v>913</v>
      </c>
      <c r="C286" s="2" t="s">
        <v>914</v>
      </c>
      <c r="D286" s="2" t="s">
        <v>38</v>
      </c>
      <c r="E286" s="2" t="s">
        <v>915</v>
      </c>
      <c r="F286" s="2">
        <v>1965</v>
      </c>
      <c r="G286" s="2">
        <v>668</v>
      </c>
      <c r="H286" s="2">
        <v>382</v>
      </c>
      <c r="I286" s="2">
        <v>130</v>
      </c>
      <c r="J286" s="2">
        <v>56</v>
      </c>
      <c r="K286" s="2">
        <v>148</v>
      </c>
      <c r="L286" s="2">
        <f t="shared" ca="1" si="32"/>
        <v>61</v>
      </c>
      <c r="M286" s="2">
        <v>29</v>
      </c>
      <c r="N286" s="2">
        <v>82</v>
      </c>
      <c r="O286" s="2">
        <v>3100</v>
      </c>
      <c r="P286" s="2">
        <f t="shared" ca="1" si="33"/>
        <v>0.47540983606557374</v>
      </c>
      <c r="Q286" s="2">
        <f t="shared" ca="1" si="34"/>
        <v>9.7717679395307737</v>
      </c>
      <c r="R286" s="2">
        <v>18.564900000000002</v>
      </c>
      <c r="S286" s="2">
        <f t="shared" si="39"/>
        <v>28.265498802395207</v>
      </c>
      <c r="T286" s="2">
        <v>37</v>
      </c>
      <c r="U286" s="2">
        <v>58</v>
      </c>
      <c r="V286" s="2">
        <v>71.972999999999999</v>
      </c>
      <c r="W286" s="2">
        <f t="shared" si="35"/>
        <v>51.604273078883686</v>
      </c>
      <c r="X286" s="2">
        <v>10</v>
      </c>
      <c r="Y286" s="2">
        <f t="shared" si="36"/>
        <v>46.324939287601879</v>
      </c>
      <c r="Z286" s="2">
        <v>54</v>
      </c>
      <c r="AA286" s="2">
        <f t="shared" si="37"/>
        <v>44.698993277254019</v>
      </c>
      <c r="AB286" s="2">
        <f t="shared" si="38"/>
        <v>35.972225396825252</v>
      </c>
      <c r="AC286" s="2">
        <v>195.25370000000001</v>
      </c>
      <c r="AD286" s="2">
        <v>14</v>
      </c>
      <c r="AE286" s="2">
        <v>10</v>
      </c>
      <c r="AF286" s="2">
        <v>13</v>
      </c>
      <c r="AG286" s="2">
        <v>35</v>
      </c>
      <c r="AH286" s="2">
        <v>10</v>
      </c>
      <c r="AI286" t="s">
        <v>40</v>
      </c>
    </row>
    <row r="287" spans="1:35" x14ac:dyDescent="0.3">
      <c r="A287" s="2" t="s">
        <v>35</v>
      </c>
      <c r="B287" s="2" t="s">
        <v>916</v>
      </c>
      <c r="C287" s="2" t="s">
        <v>917</v>
      </c>
      <c r="D287" s="2" t="s">
        <v>43</v>
      </c>
      <c r="E287" s="2" t="s">
        <v>918</v>
      </c>
      <c r="F287" s="2">
        <v>1991</v>
      </c>
      <c r="G287" s="2">
        <v>31</v>
      </c>
      <c r="H287" s="2">
        <v>0</v>
      </c>
      <c r="I287" s="2">
        <v>30</v>
      </c>
      <c r="J287" s="2">
        <v>27</v>
      </c>
      <c r="K287" s="2">
        <v>30</v>
      </c>
      <c r="L287" s="2">
        <f t="shared" ca="1" si="32"/>
        <v>35</v>
      </c>
      <c r="M287" s="2">
        <v>4</v>
      </c>
      <c r="N287" s="2">
        <v>0</v>
      </c>
      <c r="O287" s="2">
        <v>34</v>
      </c>
      <c r="P287" s="2">
        <f t="shared" ca="1" si="33"/>
        <v>0.11428571428571428</v>
      </c>
      <c r="Q287" s="2">
        <f t="shared" ca="1" si="34"/>
        <v>61.658986175115203</v>
      </c>
      <c r="R287" s="2">
        <v>1.6021000000000001</v>
      </c>
      <c r="S287" s="2">
        <f t="shared" si="39"/>
        <v>62.89242258064516</v>
      </c>
      <c r="T287" s="2">
        <v>4</v>
      </c>
      <c r="U287" s="2">
        <v>4</v>
      </c>
      <c r="V287" s="2">
        <v>5</v>
      </c>
      <c r="W287" s="2">
        <f t="shared" si="35"/>
        <v>4.4721359549995796</v>
      </c>
      <c r="X287" s="2">
        <v>2</v>
      </c>
      <c r="Y287" s="2">
        <f t="shared" si="36"/>
        <v>4</v>
      </c>
      <c r="Z287" s="2">
        <v>4.5</v>
      </c>
      <c r="AA287" s="2">
        <f t="shared" si="37"/>
        <v>4.2426406871192848</v>
      </c>
      <c r="AB287" s="2">
        <f t="shared" si="38"/>
        <v>2</v>
      </c>
      <c r="AC287" s="2">
        <v>6.7081999999999997</v>
      </c>
      <c r="AD287" s="2">
        <v>4</v>
      </c>
      <c r="AE287" s="2">
        <v>1</v>
      </c>
      <c r="AF287" s="2">
        <v>0</v>
      </c>
      <c r="AG287" s="2">
        <v>0</v>
      </c>
      <c r="AH287" s="2">
        <v>3</v>
      </c>
      <c r="AI287" t="s">
        <v>45</v>
      </c>
    </row>
    <row r="288" spans="1:35" x14ac:dyDescent="0.3">
      <c r="A288" s="2" t="s">
        <v>35</v>
      </c>
      <c r="B288" s="2" t="s">
        <v>919</v>
      </c>
      <c r="C288" s="2" t="s">
        <v>920</v>
      </c>
      <c r="D288" s="2" t="s">
        <v>240</v>
      </c>
      <c r="E288" s="2" t="s">
        <v>921</v>
      </c>
      <c r="F288" s="2">
        <v>1995</v>
      </c>
      <c r="G288" s="2">
        <v>13</v>
      </c>
      <c r="H288" s="2">
        <v>0</v>
      </c>
      <c r="I288" s="2">
        <v>8</v>
      </c>
      <c r="J288" s="2">
        <v>6</v>
      </c>
      <c r="K288" s="2">
        <v>9</v>
      </c>
      <c r="L288" s="2">
        <f t="shared" ca="1" si="32"/>
        <v>31</v>
      </c>
      <c r="M288" s="2">
        <v>7</v>
      </c>
      <c r="N288" s="2">
        <v>6</v>
      </c>
      <c r="O288" s="2">
        <v>533</v>
      </c>
      <c r="P288" s="2">
        <f t="shared" ca="1" si="33"/>
        <v>0.22580645161290322</v>
      </c>
      <c r="Q288" s="2">
        <f t="shared" ca="1" si="34"/>
        <v>90.198511166253112</v>
      </c>
      <c r="R288" s="2">
        <v>5.2458999999999998</v>
      </c>
      <c r="S288" s="2">
        <f t="shared" si="39"/>
        <v>93.707438461538473</v>
      </c>
      <c r="T288" s="2">
        <v>7</v>
      </c>
      <c r="U288" s="2">
        <v>13</v>
      </c>
      <c r="V288" s="2">
        <v>75.714299999999994</v>
      </c>
      <c r="W288" s="2">
        <f t="shared" si="35"/>
        <v>23.021731038303788</v>
      </c>
      <c r="X288" s="2">
        <v>4</v>
      </c>
      <c r="Y288" s="2">
        <f t="shared" si="36"/>
        <v>9.5393920141694561</v>
      </c>
      <c r="Z288" s="2">
        <v>16</v>
      </c>
      <c r="AA288" s="2">
        <f t="shared" si="37"/>
        <v>10.583005244258363</v>
      </c>
      <c r="AB288" s="2">
        <f t="shared" si="38"/>
        <v>21.931714479264954</v>
      </c>
      <c r="AC288" s="2">
        <v>28.178000000000001</v>
      </c>
      <c r="AD288" s="2">
        <v>6</v>
      </c>
      <c r="AE288" s="2">
        <v>2</v>
      </c>
      <c r="AF288" s="2">
        <v>4</v>
      </c>
      <c r="AG288" s="2">
        <v>0</v>
      </c>
      <c r="AH288" s="2">
        <v>2</v>
      </c>
      <c r="AI288" t="s">
        <v>45</v>
      </c>
    </row>
    <row r="289" spans="1:35" x14ac:dyDescent="0.3">
      <c r="A289" s="2" t="s">
        <v>35</v>
      </c>
      <c r="B289" s="2" t="s">
        <v>922</v>
      </c>
      <c r="C289" s="2" t="s">
        <v>923</v>
      </c>
      <c r="D289" s="2" t="s">
        <v>74</v>
      </c>
      <c r="E289" s="2" t="s">
        <v>924</v>
      </c>
      <c r="F289" s="2">
        <v>2015</v>
      </c>
      <c r="G289" s="2">
        <v>18</v>
      </c>
      <c r="H289" s="2">
        <v>6</v>
      </c>
      <c r="I289" s="2">
        <v>5</v>
      </c>
      <c r="J289" s="2">
        <v>2</v>
      </c>
      <c r="K289" s="2">
        <v>6</v>
      </c>
      <c r="L289" s="2">
        <f t="shared" ca="1" si="32"/>
        <v>11</v>
      </c>
      <c r="M289" s="2">
        <v>11</v>
      </c>
      <c r="N289" s="2">
        <v>11</v>
      </c>
      <c r="O289" s="2">
        <v>396</v>
      </c>
      <c r="P289" s="2">
        <f t="shared" ca="1" si="33"/>
        <v>1</v>
      </c>
      <c r="Q289" s="2">
        <f t="shared" ca="1" si="34"/>
        <v>80</v>
      </c>
      <c r="R289" s="2">
        <v>6.4600999999999997</v>
      </c>
      <c r="S289" s="2">
        <f t="shared" si="39"/>
        <v>80.90454444444444</v>
      </c>
      <c r="T289" s="2">
        <v>11</v>
      </c>
      <c r="U289" s="2">
        <v>18</v>
      </c>
      <c r="V289" s="2">
        <v>34.454500000000003</v>
      </c>
      <c r="W289" s="2">
        <f t="shared" si="35"/>
        <v>19.467909492290126</v>
      </c>
      <c r="X289" s="2">
        <v>5</v>
      </c>
      <c r="Y289" s="2">
        <f t="shared" si="36"/>
        <v>14.071247279470288</v>
      </c>
      <c r="Z289" s="2">
        <v>26</v>
      </c>
      <c r="AA289" s="2">
        <f t="shared" si="37"/>
        <v>16.911534525287763</v>
      </c>
      <c r="AB289" s="2">
        <f t="shared" si="38"/>
        <v>16.06236283988131</v>
      </c>
      <c r="AC289" s="2">
        <v>38.574599999999997</v>
      </c>
      <c r="AD289" s="2">
        <v>5</v>
      </c>
      <c r="AE289" s="2">
        <v>2</v>
      </c>
      <c r="AF289" s="2">
        <v>0</v>
      </c>
      <c r="AG289" s="2">
        <v>10</v>
      </c>
      <c r="AH289" s="2">
        <v>1</v>
      </c>
      <c r="AI289" t="s">
        <v>45</v>
      </c>
    </row>
    <row r="290" spans="1:35" x14ac:dyDescent="0.3">
      <c r="A290" s="2" t="s">
        <v>35</v>
      </c>
      <c r="B290" s="2" t="s">
        <v>925</v>
      </c>
      <c r="C290" s="2" t="s">
        <v>926</v>
      </c>
      <c r="D290" s="2" t="s">
        <v>43</v>
      </c>
      <c r="E290" s="2" t="s">
        <v>927</v>
      </c>
      <c r="F290" s="2">
        <v>1957</v>
      </c>
      <c r="G290" s="2">
        <v>88</v>
      </c>
      <c r="H290" s="2">
        <v>8</v>
      </c>
      <c r="I290" s="2">
        <v>40</v>
      </c>
      <c r="J290" s="2">
        <v>37</v>
      </c>
      <c r="K290" s="2">
        <v>54</v>
      </c>
      <c r="L290" s="2">
        <f t="shared" ca="1" si="32"/>
        <v>69</v>
      </c>
      <c r="M290" s="2">
        <v>13</v>
      </c>
      <c r="N290" s="2">
        <v>16</v>
      </c>
      <c r="O290" s="2">
        <v>774</v>
      </c>
      <c r="P290" s="2">
        <f t="shared" ca="1" si="33"/>
        <v>0.18840579710144928</v>
      </c>
      <c r="Q290" s="2">
        <f t="shared" ca="1" si="34"/>
        <v>44.759552042160749</v>
      </c>
      <c r="R290" s="2">
        <v>7.0468000000000002</v>
      </c>
      <c r="S290" s="2">
        <f t="shared" si="39"/>
        <v>51.592254545454551</v>
      </c>
      <c r="T290" s="2">
        <v>13</v>
      </c>
      <c r="U290" s="2">
        <v>26</v>
      </c>
      <c r="V290" s="2">
        <v>47.846200000000003</v>
      </c>
      <c r="W290" s="2">
        <f t="shared" si="35"/>
        <v>24.939939855581049</v>
      </c>
      <c r="X290" s="2">
        <v>5</v>
      </c>
      <c r="Y290" s="2">
        <f t="shared" si="36"/>
        <v>18.384776310850235</v>
      </c>
      <c r="Z290" s="2">
        <v>24</v>
      </c>
      <c r="AA290" s="2">
        <f t="shared" si="37"/>
        <v>17.663521732655695</v>
      </c>
      <c r="AB290" s="2">
        <f t="shared" si="38"/>
        <v>21.283810749017668</v>
      </c>
      <c r="AC290" s="2">
        <v>47.958300000000001</v>
      </c>
      <c r="AD290" s="2">
        <v>11</v>
      </c>
      <c r="AE290" s="2">
        <v>7</v>
      </c>
      <c r="AF290" s="2">
        <v>6</v>
      </c>
      <c r="AG290" s="2">
        <v>3</v>
      </c>
      <c r="AH290" s="2">
        <v>6</v>
      </c>
      <c r="AI290" t="s">
        <v>45</v>
      </c>
    </row>
    <row r="291" spans="1:35" x14ac:dyDescent="0.3">
      <c r="A291" s="2" t="s">
        <v>35</v>
      </c>
      <c r="B291" s="2" t="s">
        <v>928</v>
      </c>
      <c r="C291" s="2" t="s">
        <v>929</v>
      </c>
      <c r="D291" s="2" t="s">
        <v>51</v>
      </c>
      <c r="E291" s="2" t="s">
        <v>930</v>
      </c>
      <c r="F291" s="2">
        <v>1975</v>
      </c>
      <c r="G291" s="2">
        <v>75</v>
      </c>
      <c r="H291" s="2">
        <v>34</v>
      </c>
      <c r="I291" s="2">
        <v>24</v>
      </c>
      <c r="J291" s="2">
        <v>11</v>
      </c>
      <c r="K291" s="2">
        <v>29</v>
      </c>
      <c r="L291" s="2">
        <f t="shared" ca="1" si="32"/>
        <v>51</v>
      </c>
      <c r="M291" s="2">
        <v>9</v>
      </c>
      <c r="N291" s="2">
        <v>9</v>
      </c>
      <c r="O291" s="2">
        <v>360</v>
      </c>
      <c r="P291" s="2">
        <f t="shared" ca="1" si="33"/>
        <v>0.17647058823529413</v>
      </c>
      <c r="Q291" s="2">
        <f t="shared" ca="1" si="34"/>
        <v>27.035294117647059</v>
      </c>
      <c r="R291" s="2">
        <v>5.2478999999999996</v>
      </c>
      <c r="S291" s="2">
        <f t="shared" si="39"/>
        <v>32.047899999999998</v>
      </c>
      <c r="T291" s="2">
        <v>9</v>
      </c>
      <c r="U291" s="2">
        <v>17</v>
      </c>
      <c r="V291" s="2">
        <v>27.1111</v>
      </c>
      <c r="W291" s="2">
        <f t="shared" si="35"/>
        <v>15.620496150890983</v>
      </c>
      <c r="X291" s="2">
        <v>4</v>
      </c>
      <c r="Y291" s="2">
        <f t="shared" si="36"/>
        <v>12.369316876852981</v>
      </c>
      <c r="Z291" s="2">
        <v>19</v>
      </c>
      <c r="AA291" s="2">
        <f t="shared" si="37"/>
        <v>13.076696830622021</v>
      </c>
      <c r="AB291" s="2">
        <f t="shared" si="38"/>
        <v>12.767141418500854</v>
      </c>
      <c r="AC291" s="2">
        <v>29.849599999999999</v>
      </c>
      <c r="AD291" s="2">
        <v>4</v>
      </c>
      <c r="AE291" s="2">
        <v>3</v>
      </c>
      <c r="AF291" s="2">
        <v>4</v>
      </c>
      <c r="AG291" s="2">
        <v>7</v>
      </c>
      <c r="AH291" s="2">
        <v>4</v>
      </c>
      <c r="AI291" t="s">
        <v>40</v>
      </c>
    </row>
    <row r="292" spans="1:35" x14ac:dyDescent="0.3">
      <c r="A292" s="2" t="s">
        <v>35</v>
      </c>
      <c r="B292" s="2" t="s">
        <v>931</v>
      </c>
      <c r="C292" s="2" t="s">
        <v>932</v>
      </c>
      <c r="D292" s="2" t="s">
        <v>81</v>
      </c>
      <c r="E292" s="2" t="s">
        <v>933</v>
      </c>
      <c r="F292" s="2">
        <v>2001</v>
      </c>
      <c r="G292" s="2">
        <v>111</v>
      </c>
      <c r="H292" s="2">
        <v>48</v>
      </c>
      <c r="I292" s="2">
        <v>5</v>
      </c>
      <c r="J292" s="2">
        <v>38</v>
      </c>
      <c r="K292" s="2">
        <v>39</v>
      </c>
      <c r="L292" s="2">
        <f t="shared" ca="1" si="32"/>
        <v>25</v>
      </c>
      <c r="M292" s="2">
        <v>23</v>
      </c>
      <c r="N292" s="2">
        <v>40</v>
      </c>
      <c r="O292" s="2">
        <v>6149</v>
      </c>
      <c r="P292" s="2">
        <f t="shared" ca="1" si="33"/>
        <v>0.92</v>
      </c>
      <c r="Q292" s="2">
        <f t="shared" ca="1" si="34"/>
        <v>34.792792792792795</v>
      </c>
      <c r="R292" s="2">
        <v>17.134</v>
      </c>
      <c r="S292" s="2">
        <f t="shared" si="39"/>
        <v>51.09796396396397</v>
      </c>
      <c r="T292" s="2">
        <v>24</v>
      </c>
      <c r="U292" s="2">
        <v>78</v>
      </c>
      <c r="V292" s="2">
        <v>240.91669999999999</v>
      </c>
      <c r="W292" s="2">
        <f t="shared" si="35"/>
        <v>76.039468698827719</v>
      </c>
      <c r="X292" s="2">
        <v>10</v>
      </c>
      <c r="Y292" s="2">
        <f t="shared" si="36"/>
        <v>43.266615305567875</v>
      </c>
      <c r="Z292" s="2">
        <v>75.5</v>
      </c>
      <c r="AA292" s="2">
        <f t="shared" si="37"/>
        <v>42.567593307585526</v>
      </c>
      <c r="AB292" s="2">
        <f t="shared" si="38"/>
        <v>72.152621573994111</v>
      </c>
      <c r="AC292" s="2">
        <v>149.7465</v>
      </c>
      <c r="AD292" s="2">
        <v>13</v>
      </c>
      <c r="AE292" s="2">
        <v>1</v>
      </c>
      <c r="AF292" s="2">
        <v>3</v>
      </c>
      <c r="AG292" s="2">
        <v>22</v>
      </c>
      <c r="AH292" s="2">
        <v>8</v>
      </c>
      <c r="AI292" t="s">
        <v>40</v>
      </c>
    </row>
    <row r="293" spans="1:35" x14ac:dyDescent="0.3">
      <c r="A293" s="2" t="s">
        <v>35</v>
      </c>
      <c r="B293" s="2" t="s">
        <v>934</v>
      </c>
      <c r="C293" s="2" t="s">
        <v>935</v>
      </c>
      <c r="D293" s="2" t="s">
        <v>187</v>
      </c>
      <c r="E293" s="2" t="s">
        <v>936</v>
      </c>
      <c r="F293" s="2">
        <v>1938</v>
      </c>
      <c r="G293" s="2">
        <v>58</v>
      </c>
      <c r="H293" s="2">
        <v>18</v>
      </c>
      <c r="I293" s="2">
        <v>15</v>
      </c>
      <c r="J293" s="2">
        <v>13</v>
      </c>
      <c r="K293" s="2">
        <v>19</v>
      </c>
      <c r="L293" s="2">
        <f t="shared" ca="1" si="32"/>
        <v>88</v>
      </c>
      <c r="M293" s="2">
        <v>20</v>
      </c>
      <c r="N293" s="2">
        <v>26</v>
      </c>
      <c r="O293" s="2">
        <v>2039</v>
      </c>
      <c r="P293" s="2">
        <f t="shared" ca="1" si="33"/>
        <v>0.22727272727272727</v>
      </c>
      <c r="Q293" s="2">
        <f t="shared" ca="1" si="34"/>
        <v>48.150470219435732</v>
      </c>
      <c r="R293" s="2">
        <v>16.875900000000001</v>
      </c>
      <c r="S293" s="2">
        <f t="shared" si="39"/>
        <v>64.634520689655176</v>
      </c>
      <c r="T293" s="2">
        <v>20</v>
      </c>
      <c r="U293" s="2">
        <v>45</v>
      </c>
      <c r="V293" s="2">
        <v>95.05</v>
      </c>
      <c r="W293" s="2">
        <f t="shared" si="35"/>
        <v>43.600458713183279</v>
      </c>
      <c r="X293" s="2">
        <v>7</v>
      </c>
      <c r="Y293" s="2">
        <f t="shared" si="36"/>
        <v>30</v>
      </c>
      <c r="Z293" s="2">
        <v>36.5</v>
      </c>
      <c r="AA293" s="2">
        <f t="shared" si="37"/>
        <v>27.018512172212592</v>
      </c>
      <c r="AB293" s="2">
        <f t="shared" si="38"/>
        <v>38.742741255621034</v>
      </c>
      <c r="AC293" s="2">
        <v>95.268000000000001</v>
      </c>
      <c r="AD293" s="2">
        <v>14</v>
      </c>
      <c r="AE293" s="2">
        <v>5</v>
      </c>
      <c r="AF293" s="2">
        <v>4</v>
      </c>
      <c r="AG293" s="2">
        <v>10</v>
      </c>
      <c r="AH293" s="2">
        <v>8</v>
      </c>
      <c r="AI293" t="s">
        <v>45</v>
      </c>
    </row>
    <row r="294" spans="1:35" x14ac:dyDescent="0.3">
      <c r="A294" s="2" t="s">
        <v>35</v>
      </c>
      <c r="B294" s="2" t="s">
        <v>937</v>
      </c>
      <c r="C294" s="2" t="s">
        <v>938</v>
      </c>
      <c r="D294" s="2" t="s">
        <v>240</v>
      </c>
      <c r="E294" s="2" t="s">
        <v>939</v>
      </c>
      <c r="F294" s="2">
        <v>2008</v>
      </c>
      <c r="G294" s="2">
        <v>7</v>
      </c>
      <c r="H294" s="2">
        <v>0</v>
      </c>
      <c r="I294" s="2">
        <v>5</v>
      </c>
      <c r="J294" s="2">
        <v>4</v>
      </c>
      <c r="K294" s="2">
        <v>5</v>
      </c>
      <c r="L294" s="2">
        <f t="shared" ca="1" si="32"/>
        <v>18</v>
      </c>
      <c r="M294" s="2">
        <v>2</v>
      </c>
      <c r="N294" s="2">
        <v>2</v>
      </c>
      <c r="O294" s="2">
        <v>48</v>
      </c>
      <c r="P294" s="2">
        <f t="shared" ca="1" si="33"/>
        <v>0.1111111111111111</v>
      </c>
      <c r="Q294" s="2">
        <f t="shared" ca="1" si="34"/>
        <v>65.873015873015873</v>
      </c>
      <c r="R294" s="2">
        <v>1.7988</v>
      </c>
      <c r="S294" s="2">
        <f t="shared" si="39"/>
        <v>66.084514285714292</v>
      </c>
      <c r="T294" s="2">
        <v>2</v>
      </c>
      <c r="U294" s="2">
        <v>6</v>
      </c>
      <c r="V294" s="2">
        <v>23</v>
      </c>
      <c r="W294" s="2">
        <f t="shared" si="35"/>
        <v>6.7823299831252681</v>
      </c>
      <c r="X294" s="2">
        <v>2</v>
      </c>
      <c r="Y294" s="2">
        <f t="shared" si="36"/>
        <v>3.4641016151377544</v>
      </c>
      <c r="Z294" s="2">
        <v>23</v>
      </c>
      <c r="AA294" s="2">
        <f t="shared" si="37"/>
        <v>6.7823299831252681</v>
      </c>
      <c r="AB294" s="2">
        <f t="shared" si="38"/>
        <v>6.4807406984078604</v>
      </c>
      <c r="AC294" s="2">
        <v>8.1853999999999996</v>
      </c>
      <c r="AD294" s="2">
        <v>2</v>
      </c>
      <c r="AE294" s="2">
        <v>0</v>
      </c>
      <c r="AF294" s="2">
        <v>0</v>
      </c>
      <c r="AG294" s="2">
        <v>1</v>
      </c>
      <c r="AH294" s="2">
        <v>1</v>
      </c>
      <c r="AI294" t="s">
        <v>45</v>
      </c>
    </row>
    <row r="295" spans="1:35" x14ac:dyDescent="0.3">
      <c r="A295" s="2" t="s">
        <v>35</v>
      </c>
      <c r="B295" s="2" t="s">
        <v>940</v>
      </c>
      <c r="C295" s="2" t="s">
        <v>941</v>
      </c>
      <c r="D295" s="2" t="s">
        <v>240</v>
      </c>
      <c r="E295" s="2" t="s">
        <v>942</v>
      </c>
      <c r="F295" s="2">
        <v>2006</v>
      </c>
      <c r="G295" s="2">
        <v>51</v>
      </c>
      <c r="H295" s="2">
        <v>0</v>
      </c>
      <c r="I295" s="2">
        <v>51</v>
      </c>
      <c r="J295" s="2">
        <v>51</v>
      </c>
      <c r="K295" s="2">
        <v>51</v>
      </c>
      <c r="L295" s="2">
        <f t="shared" ca="1" si="32"/>
        <v>20</v>
      </c>
      <c r="M295" s="2">
        <v>8</v>
      </c>
      <c r="N295" s="2">
        <v>4</v>
      </c>
      <c r="O295" s="2">
        <v>129</v>
      </c>
      <c r="P295" s="2">
        <f t="shared" ca="1" si="33"/>
        <v>0.4</v>
      </c>
      <c r="Q295" s="2">
        <f t="shared" ca="1" si="34"/>
        <v>66.470588235294116</v>
      </c>
      <c r="R295" s="2">
        <v>2.3618000000000001</v>
      </c>
      <c r="S295" s="2">
        <f t="shared" si="39"/>
        <v>68.048074509803925</v>
      </c>
      <c r="T295" s="2">
        <v>8</v>
      </c>
      <c r="U295" s="2">
        <v>9</v>
      </c>
      <c r="V295" s="2">
        <v>10.625</v>
      </c>
      <c r="W295" s="2">
        <f t="shared" si="35"/>
        <v>9.2195444572928871</v>
      </c>
      <c r="X295" s="2">
        <v>3</v>
      </c>
      <c r="Y295" s="2">
        <f t="shared" si="36"/>
        <v>8.4852813742385695</v>
      </c>
      <c r="Z295" s="2">
        <v>9.5</v>
      </c>
      <c r="AA295" s="2">
        <f t="shared" si="37"/>
        <v>8.717797887081348</v>
      </c>
      <c r="AB295" s="2">
        <f t="shared" si="38"/>
        <v>4.5825756949558398</v>
      </c>
      <c r="AC295" s="2">
        <v>18.303000000000001</v>
      </c>
      <c r="AD295" s="2">
        <v>8</v>
      </c>
      <c r="AE295" s="2">
        <v>0</v>
      </c>
      <c r="AF295" s="2">
        <v>0</v>
      </c>
      <c r="AG295" s="2">
        <v>0</v>
      </c>
      <c r="AH295" s="2">
        <v>8</v>
      </c>
      <c r="AI295" t="s">
        <v>45</v>
      </c>
    </row>
    <row r="296" spans="1:35" x14ac:dyDescent="0.3">
      <c r="A296" s="2" t="s">
        <v>35</v>
      </c>
      <c r="B296" s="2" t="s">
        <v>943</v>
      </c>
      <c r="C296" s="2" t="s">
        <v>944</v>
      </c>
      <c r="D296" s="2" t="s">
        <v>43</v>
      </c>
      <c r="E296" s="2" t="s">
        <v>945</v>
      </c>
      <c r="F296" s="2">
        <v>2006</v>
      </c>
      <c r="G296" s="2">
        <v>16</v>
      </c>
      <c r="H296" s="2">
        <v>0</v>
      </c>
      <c r="I296" s="2">
        <v>12</v>
      </c>
      <c r="J296" s="2">
        <v>12</v>
      </c>
      <c r="K296" s="2">
        <v>12</v>
      </c>
      <c r="L296" s="2">
        <f t="shared" ca="1" si="32"/>
        <v>20</v>
      </c>
      <c r="M296" s="2">
        <v>2</v>
      </c>
      <c r="N296" s="2">
        <v>0</v>
      </c>
      <c r="O296" s="2">
        <v>10</v>
      </c>
      <c r="P296" s="2">
        <f t="shared" ca="1" si="33"/>
        <v>0.1</v>
      </c>
      <c r="Q296" s="2">
        <f t="shared" ca="1" si="34"/>
        <v>50.625</v>
      </c>
      <c r="R296" s="2">
        <v>1.4141999999999999</v>
      </c>
      <c r="S296" s="2">
        <f t="shared" si="39"/>
        <v>51.414200000000001</v>
      </c>
      <c r="T296" s="2">
        <v>2</v>
      </c>
      <c r="U296" s="2">
        <v>3</v>
      </c>
      <c r="V296" s="2">
        <v>4</v>
      </c>
      <c r="W296" s="2">
        <f t="shared" si="35"/>
        <v>2.8284271247461903</v>
      </c>
      <c r="X296" s="2">
        <v>2</v>
      </c>
      <c r="Y296" s="2">
        <f t="shared" si="36"/>
        <v>2.4494897427831779</v>
      </c>
      <c r="Z296" s="2">
        <v>4</v>
      </c>
      <c r="AA296" s="2">
        <f t="shared" si="37"/>
        <v>2.8284271247461903</v>
      </c>
      <c r="AB296" s="2">
        <f t="shared" si="38"/>
        <v>2</v>
      </c>
      <c r="AC296" s="2">
        <v>3.4641000000000002</v>
      </c>
      <c r="AD296" s="2">
        <v>2</v>
      </c>
      <c r="AE296" s="2">
        <v>0</v>
      </c>
      <c r="AF296" s="2">
        <v>0</v>
      </c>
      <c r="AG296" s="2">
        <v>1</v>
      </c>
      <c r="AH296" s="2">
        <v>2</v>
      </c>
      <c r="AI296" t="s">
        <v>45</v>
      </c>
    </row>
    <row r="297" spans="1:35" x14ac:dyDescent="0.3">
      <c r="A297" s="2" t="s">
        <v>35</v>
      </c>
      <c r="B297" s="2" t="s">
        <v>946</v>
      </c>
      <c r="C297" s="2" t="s">
        <v>947</v>
      </c>
      <c r="D297" s="2" t="s">
        <v>227</v>
      </c>
      <c r="E297" s="2" t="s">
        <v>948</v>
      </c>
      <c r="F297" s="2">
        <v>2000</v>
      </c>
      <c r="G297" s="2">
        <v>23</v>
      </c>
      <c r="H297" s="2">
        <v>2</v>
      </c>
      <c r="I297" s="2">
        <v>8</v>
      </c>
      <c r="J297" s="2">
        <v>4</v>
      </c>
      <c r="K297" s="2">
        <v>8</v>
      </c>
      <c r="L297" s="2">
        <f t="shared" ca="1" si="32"/>
        <v>26</v>
      </c>
      <c r="M297" s="2">
        <v>4</v>
      </c>
      <c r="N297" s="2">
        <v>3</v>
      </c>
      <c r="O297" s="2">
        <v>81</v>
      </c>
      <c r="P297" s="2">
        <f t="shared" ca="1" si="33"/>
        <v>0.15384615384615385</v>
      </c>
      <c r="Q297" s="2">
        <f t="shared" ca="1" si="34"/>
        <v>34.581939799331103</v>
      </c>
      <c r="R297" s="2">
        <v>3.6699000000000002</v>
      </c>
      <c r="S297" s="2">
        <f t="shared" si="39"/>
        <v>37.582943478260866</v>
      </c>
      <c r="T297" s="2">
        <v>4</v>
      </c>
      <c r="U297" s="2">
        <v>8</v>
      </c>
      <c r="V297" s="2">
        <v>17.25</v>
      </c>
      <c r="W297" s="2">
        <f t="shared" si="35"/>
        <v>8.3066238629180749</v>
      </c>
      <c r="X297" s="2">
        <v>3</v>
      </c>
      <c r="Y297" s="2">
        <f t="shared" si="36"/>
        <v>5.6568542494923806</v>
      </c>
      <c r="Z297" s="2">
        <v>18.5</v>
      </c>
      <c r="AA297" s="2">
        <f t="shared" si="37"/>
        <v>8.6023252670426267</v>
      </c>
      <c r="AB297" s="2">
        <f t="shared" si="38"/>
        <v>7.2801098892805181</v>
      </c>
      <c r="AC297" s="2">
        <v>12</v>
      </c>
      <c r="AD297" s="2">
        <v>3</v>
      </c>
      <c r="AE297" s="2">
        <v>1</v>
      </c>
      <c r="AF297" s="2">
        <v>2</v>
      </c>
      <c r="AG297" s="2">
        <v>3</v>
      </c>
      <c r="AH297" s="2">
        <v>1</v>
      </c>
      <c r="AI297" t="s">
        <v>40</v>
      </c>
    </row>
    <row r="298" spans="1:35" x14ac:dyDescent="0.3">
      <c r="A298" s="2" t="s">
        <v>35</v>
      </c>
      <c r="B298" s="2" t="s">
        <v>949</v>
      </c>
      <c r="C298" s="2" t="s">
        <v>950</v>
      </c>
      <c r="D298" s="2" t="s">
        <v>91</v>
      </c>
      <c r="E298" s="2" t="s">
        <v>951</v>
      </c>
      <c r="F298" s="2">
        <v>2012</v>
      </c>
      <c r="G298" s="2">
        <v>23</v>
      </c>
      <c r="H298" s="2">
        <v>11</v>
      </c>
      <c r="I298" s="2">
        <v>12</v>
      </c>
      <c r="J298" s="2">
        <v>4</v>
      </c>
      <c r="K298" s="2">
        <v>12</v>
      </c>
      <c r="L298" s="2">
        <f t="shared" ca="1" si="32"/>
        <v>14</v>
      </c>
      <c r="M298" s="2">
        <v>8</v>
      </c>
      <c r="N298" s="2">
        <v>7</v>
      </c>
      <c r="O298" s="2">
        <v>162</v>
      </c>
      <c r="P298" s="2">
        <f t="shared" ca="1" si="33"/>
        <v>0.5714285714285714</v>
      </c>
      <c r="Q298" s="2">
        <f t="shared" ca="1" si="34"/>
        <v>58.571428571428569</v>
      </c>
      <c r="R298" s="2">
        <v>4.4819000000000004</v>
      </c>
      <c r="S298" s="2">
        <f t="shared" si="39"/>
        <v>60.568856521739129</v>
      </c>
      <c r="T298" s="2">
        <v>8</v>
      </c>
      <c r="U298" s="2">
        <v>12</v>
      </c>
      <c r="V298" s="2">
        <v>17.5</v>
      </c>
      <c r="W298" s="2">
        <f t="shared" si="35"/>
        <v>11.832159566199232</v>
      </c>
      <c r="X298" s="2">
        <v>4</v>
      </c>
      <c r="Y298" s="2">
        <f t="shared" si="36"/>
        <v>9.7979589711327115</v>
      </c>
      <c r="Z298" s="2">
        <v>16.5</v>
      </c>
      <c r="AA298" s="2">
        <f t="shared" si="37"/>
        <v>11.489125293076057</v>
      </c>
      <c r="AB298" s="2">
        <f t="shared" si="38"/>
        <v>8.717797887081348</v>
      </c>
      <c r="AC298" s="2">
        <v>22.825399999999998</v>
      </c>
      <c r="AD298" s="2">
        <v>5</v>
      </c>
      <c r="AE298" s="2">
        <v>4</v>
      </c>
      <c r="AF298" s="2">
        <v>1</v>
      </c>
      <c r="AG298" s="2">
        <v>4</v>
      </c>
      <c r="AH298" s="2">
        <v>2</v>
      </c>
      <c r="AI298" t="s">
        <v>93</v>
      </c>
    </row>
    <row r="299" spans="1:35" x14ac:dyDescent="0.3">
      <c r="A299" s="2" t="s">
        <v>35</v>
      </c>
      <c r="B299" s="2" t="s">
        <v>952</v>
      </c>
      <c r="C299" s="2" t="s">
        <v>953</v>
      </c>
      <c r="D299" s="2" t="s">
        <v>67</v>
      </c>
      <c r="E299" s="2" t="s">
        <v>954</v>
      </c>
      <c r="F299" s="2">
        <v>1995</v>
      </c>
      <c r="G299" s="2">
        <v>97</v>
      </c>
      <c r="H299" s="2">
        <v>52</v>
      </c>
      <c r="I299" s="2">
        <v>13</v>
      </c>
      <c r="J299" s="2">
        <v>7</v>
      </c>
      <c r="K299" s="2">
        <v>18</v>
      </c>
      <c r="L299" s="2">
        <f t="shared" ca="1" si="32"/>
        <v>31</v>
      </c>
      <c r="M299" s="2">
        <v>26</v>
      </c>
      <c r="N299" s="2">
        <v>54</v>
      </c>
      <c r="O299" s="2">
        <v>5323</v>
      </c>
      <c r="P299" s="2">
        <f t="shared" ca="1" si="33"/>
        <v>0.83870967741935487</v>
      </c>
      <c r="Q299" s="2">
        <f t="shared" ca="1" si="34"/>
        <v>31.586298636514798</v>
      </c>
      <c r="R299" s="2">
        <v>20.736499999999999</v>
      </c>
      <c r="S299" s="2">
        <f t="shared" si="39"/>
        <v>51.458149484536079</v>
      </c>
      <c r="T299" s="2">
        <v>26</v>
      </c>
      <c r="U299" s="2">
        <v>72</v>
      </c>
      <c r="V299" s="2">
        <v>183.23079999999999</v>
      </c>
      <c r="W299" s="2">
        <f t="shared" si="35"/>
        <v>69.021741502225225</v>
      </c>
      <c r="X299" s="2">
        <v>8</v>
      </c>
      <c r="Y299" s="2">
        <f t="shared" si="36"/>
        <v>43.266615305567875</v>
      </c>
      <c r="Z299" s="2">
        <v>54</v>
      </c>
      <c r="AA299" s="2">
        <f t="shared" si="37"/>
        <v>37.469987990390386</v>
      </c>
      <c r="AB299" s="2">
        <f t="shared" si="38"/>
        <v>63.937475708695288</v>
      </c>
      <c r="AC299" s="2">
        <v>143.6593</v>
      </c>
      <c r="AD299" s="2">
        <v>15</v>
      </c>
      <c r="AE299" s="2">
        <v>6</v>
      </c>
      <c r="AF299" s="2">
        <v>7</v>
      </c>
      <c r="AG299" s="2">
        <v>23</v>
      </c>
      <c r="AH299" s="2">
        <v>6</v>
      </c>
      <c r="AI299" t="s">
        <v>40</v>
      </c>
    </row>
    <row r="300" spans="1:35" x14ac:dyDescent="0.3">
      <c r="A300" s="2" t="s">
        <v>35</v>
      </c>
      <c r="B300" s="2" t="s">
        <v>955</v>
      </c>
      <c r="C300" s="2" t="s">
        <v>956</v>
      </c>
      <c r="D300" s="2" t="s">
        <v>81</v>
      </c>
      <c r="E300" s="2" t="s">
        <v>957</v>
      </c>
      <c r="F300" s="2">
        <v>2013</v>
      </c>
      <c r="G300" s="2">
        <v>36</v>
      </c>
      <c r="H300" s="2">
        <v>5</v>
      </c>
      <c r="I300" s="2">
        <v>5</v>
      </c>
      <c r="J300" s="2">
        <v>14</v>
      </c>
      <c r="K300" s="2">
        <v>17</v>
      </c>
      <c r="L300" s="2">
        <f t="shared" ca="1" si="32"/>
        <v>13</v>
      </c>
      <c r="M300" s="2">
        <v>9</v>
      </c>
      <c r="N300" s="2">
        <v>9</v>
      </c>
      <c r="O300" s="2">
        <v>241</v>
      </c>
      <c r="P300" s="2">
        <f t="shared" ca="1" si="33"/>
        <v>0.69230769230769229</v>
      </c>
      <c r="Q300" s="2">
        <f t="shared" ca="1" si="34"/>
        <v>49.145299145299148</v>
      </c>
      <c r="R300" s="2">
        <v>4.8507999999999996</v>
      </c>
      <c r="S300" s="2">
        <f t="shared" si="39"/>
        <v>52.073022222222221</v>
      </c>
      <c r="T300" s="2">
        <v>9</v>
      </c>
      <c r="U300" s="2">
        <v>14</v>
      </c>
      <c r="V300" s="2">
        <v>20.1111</v>
      </c>
      <c r="W300" s="2">
        <f t="shared" si="35"/>
        <v>13.453620330602465</v>
      </c>
      <c r="X300" s="2">
        <v>4</v>
      </c>
      <c r="Y300" s="2">
        <f t="shared" si="36"/>
        <v>11.224972160321824</v>
      </c>
      <c r="Z300" s="2">
        <v>18</v>
      </c>
      <c r="AA300" s="2">
        <f t="shared" si="37"/>
        <v>12.727922061357855</v>
      </c>
      <c r="AB300" s="2">
        <f t="shared" si="38"/>
        <v>9.9999949999987496</v>
      </c>
      <c r="AC300" s="2">
        <v>25.980799999999999</v>
      </c>
      <c r="AD300" s="2">
        <v>7</v>
      </c>
      <c r="AE300" s="2">
        <v>2</v>
      </c>
      <c r="AF300" s="2">
        <v>0</v>
      </c>
      <c r="AG300" s="2">
        <v>5</v>
      </c>
      <c r="AH300" s="2">
        <v>6</v>
      </c>
      <c r="AI300" t="s">
        <v>40</v>
      </c>
    </row>
    <row r="301" spans="1:35" x14ac:dyDescent="0.3">
      <c r="A301" s="2" t="s">
        <v>35</v>
      </c>
      <c r="B301" s="2" t="s">
        <v>958</v>
      </c>
      <c r="C301" s="2" t="s">
        <v>959</v>
      </c>
      <c r="D301" s="2" t="s">
        <v>51</v>
      </c>
      <c r="E301" s="2" t="s">
        <v>960</v>
      </c>
      <c r="F301" s="2">
        <v>1985</v>
      </c>
      <c r="G301" s="2">
        <v>137</v>
      </c>
      <c r="H301" s="2">
        <v>80</v>
      </c>
      <c r="I301" s="2">
        <v>7</v>
      </c>
      <c r="J301" s="2">
        <v>26</v>
      </c>
      <c r="K301" s="2">
        <v>30</v>
      </c>
      <c r="L301" s="2">
        <f t="shared" ca="1" si="32"/>
        <v>41</v>
      </c>
      <c r="M301" s="2">
        <v>33</v>
      </c>
      <c r="N301" s="2">
        <v>75</v>
      </c>
      <c r="O301" s="2">
        <v>4089</v>
      </c>
      <c r="P301" s="2">
        <f t="shared" ca="1" si="33"/>
        <v>0.80487804878048785</v>
      </c>
      <c r="Q301" s="2">
        <f t="shared" ca="1" si="34"/>
        <v>29.784582517358022</v>
      </c>
      <c r="R301" s="2">
        <v>13.309100000000001</v>
      </c>
      <c r="S301" s="2">
        <f t="shared" si="39"/>
        <v>42.506180291970807</v>
      </c>
      <c r="T301" s="2">
        <v>33</v>
      </c>
      <c r="U301" s="2">
        <v>60</v>
      </c>
      <c r="V301" s="2">
        <v>93.151499999999999</v>
      </c>
      <c r="W301" s="2">
        <f t="shared" si="35"/>
        <v>55.443660593434842</v>
      </c>
      <c r="X301" s="2">
        <v>9</v>
      </c>
      <c r="Y301" s="2">
        <f t="shared" si="36"/>
        <v>44.497190922573978</v>
      </c>
      <c r="Z301" s="2">
        <v>63</v>
      </c>
      <c r="AA301" s="2">
        <f t="shared" si="37"/>
        <v>45.596052460711988</v>
      </c>
      <c r="AB301" s="2">
        <f t="shared" si="38"/>
        <v>44.553333208638833</v>
      </c>
      <c r="AC301" s="2">
        <v>179.88890000000001</v>
      </c>
      <c r="AD301" s="2">
        <v>16</v>
      </c>
      <c r="AE301" s="2">
        <v>3</v>
      </c>
      <c r="AF301" s="2">
        <v>6</v>
      </c>
      <c r="AG301" s="2">
        <v>28</v>
      </c>
      <c r="AH301" s="2">
        <v>12</v>
      </c>
      <c r="AI301" t="s">
        <v>40</v>
      </c>
    </row>
    <row r="302" spans="1:35" x14ac:dyDescent="0.3">
      <c r="A302" s="2" t="s">
        <v>35</v>
      </c>
      <c r="B302" s="2" t="s">
        <v>961</v>
      </c>
      <c r="C302" s="2" t="s">
        <v>962</v>
      </c>
      <c r="D302" s="2" t="s">
        <v>91</v>
      </c>
      <c r="E302" s="2" t="s">
        <v>963</v>
      </c>
      <c r="F302" s="2">
        <v>2021</v>
      </c>
      <c r="G302" s="2">
        <v>9</v>
      </c>
      <c r="H302" s="2">
        <v>2</v>
      </c>
      <c r="I302" s="2">
        <v>6</v>
      </c>
      <c r="J302" s="2">
        <v>0</v>
      </c>
      <c r="K302" s="2">
        <v>6</v>
      </c>
      <c r="L302" s="2">
        <f t="shared" ca="1" si="32"/>
        <v>5</v>
      </c>
      <c r="M302" s="2">
        <v>4</v>
      </c>
      <c r="N302" s="2">
        <v>0</v>
      </c>
      <c r="O302" s="2">
        <v>32</v>
      </c>
      <c r="P302" s="2">
        <f t="shared" ca="1" si="33"/>
        <v>0.8</v>
      </c>
      <c r="Q302" s="2">
        <f t="shared" ca="1" si="34"/>
        <v>84.444444444444443</v>
      </c>
      <c r="R302" s="2">
        <v>2.9580000000000002</v>
      </c>
      <c r="S302" s="2">
        <f t="shared" si="39"/>
        <v>78.513555555555556</v>
      </c>
      <c r="T302" s="2">
        <v>4</v>
      </c>
      <c r="U302" s="2">
        <v>5</v>
      </c>
      <c r="V302" s="2">
        <v>6.25</v>
      </c>
      <c r="W302" s="2">
        <f t="shared" si="35"/>
        <v>5</v>
      </c>
      <c r="X302" s="2">
        <v>2</v>
      </c>
      <c r="Y302" s="2">
        <f t="shared" si="36"/>
        <v>4.4721359549995796</v>
      </c>
      <c r="Z302" s="2">
        <v>6.5</v>
      </c>
      <c r="AA302" s="2">
        <f t="shared" si="37"/>
        <v>5.0990195135927845</v>
      </c>
      <c r="AB302" s="2">
        <f t="shared" si="38"/>
        <v>3</v>
      </c>
      <c r="AC302" s="2">
        <v>7.4832999999999998</v>
      </c>
      <c r="AD302" s="2">
        <v>3</v>
      </c>
      <c r="AE302" s="2">
        <v>3</v>
      </c>
      <c r="AF302" s="2">
        <v>0</v>
      </c>
      <c r="AG302" s="2">
        <v>2</v>
      </c>
      <c r="AH302" s="2">
        <v>0</v>
      </c>
      <c r="AI302" t="s">
        <v>93</v>
      </c>
    </row>
    <row r="303" spans="1:35" x14ac:dyDescent="0.3">
      <c r="A303" s="2" t="s">
        <v>35</v>
      </c>
      <c r="B303" s="2" t="s">
        <v>964</v>
      </c>
      <c r="C303" s="2" t="s">
        <v>965</v>
      </c>
      <c r="D303" s="2" t="s">
        <v>109</v>
      </c>
      <c r="E303" s="2" t="s">
        <v>966</v>
      </c>
      <c r="F303" s="2">
        <v>1997</v>
      </c>
      <c r="G303" s="2">
        <v>114</v>
      </c>
      <c r="H303" s="2">
        <v>6</v>
      </c>
      <c r="I303" s="2">
        <v>39</v>
      </c>
      <c r="J303" s="2">
        <v>14</v>
      </c>
      <c r="K303" s="2">
        <v>48</v>
      </c>
      <c r="L303" s="2">
        <f t="shared" ca="1" si="32"/>
        <v>29</v>
      </c>
      <c r="M303" s="2">
        <v>23</v>
      </c>
      <c r="N303" s="2">
        <v>46</v>
      </c>
      <c r="O303" s="2">
        <v>1555</v>
      </c>
      <c r="P303" s="2">
        <f t="shared" ca="1" si="33"/>
        <v>0.7931034482758621</v>
      </c>
      <c r="Q303" s="2">
        <f t="shared" ca="1" si="34"/>
        <v>41.397459165154267</v>
      </c>
      <c r="R303" s="2">
        <v>8.3703000000000003</v>
      </c>
      <c r="S303" s="2">
        <f t="shared" si="39"/>
        <v>49.072054385964911</v>
      </c>
      <c r="T303" s="2">
        <v>23</v>
      </c>
      <c r="U303" s="2">
        <v>35</v>
      </c>
      <c r="V303" s="2">
        <v>43.217399999999998</v>
      </c>
      <c r="W303" s="2">
        <f t="shared" si="35"/>
        <v>31.527768712676131</v>
      </c>
      <c r="X303" s="2">
        <v>6</v>
      </c>
      <c r="Y303" s="2">
        <f t="shared" si="36"/>
        <v>28.372521918222215</v>
      </c>
      <c r="Z303" s="2">
        <v>30</v>
      </c>
      <c r="AA303" s="2">
        <f t="shared" si="37"/>
        <v>26.267851073127396</v>
      </c>
      <c r="AB303" s="2">
        <f t="shared" si="38"/>
        <v>21.563863290236281</v>
      </c>
      <c r="AC303" s="2">
        <v>90.564899999999994</v>
      </c>
      <c r="AD303" s="2">
        <v>19</v>
      </c>
      <c r="AE303" s="2">
        <v>18</v>
      </c>
      <c r="AF303" s="2">
        <v>12</v>
      </c>
      <c r="AG303" s="2">
        <v>6</v>
      </c>
      <c r="AH303" s="2">
        <v>6</v>
      </c>
      <c r="AI303" t="s">
        <v>93</v>
      </c>
    </row>
    <row r="304" spans="1:35" x14ac:dyDescent="0.3">
      <c r="A304" s="2" t="s">
        <v>35</v>
      </c>
      <c r="B304" s="2" t="s">
        <v>967</v>
      </c>
      <c r="C304" s="2" t="s">
        <v>968</v>
      </c>
      <c r="D304" s="2" t="s">
        <v>43</v>
      </c>
      <c r="E304" s="2" t="s">
        <v>969</v>
      </c>
      <c r="F304" s="2">
        <v>1998</v>
      </c>
      <c r="G304" s="2">
        <v>17</v>
      </c>
      <c r="H304" s="2">
        <v>1</v>
      </c>
      <c r="I304" s="2">
        <v>16</v>
      </c>
      <c r="J304" s="2">
        <v>14</v>
      </c>
      <c r="K304" s="2">
        <v>16</v>
      </c>
      <c r="L304" s="2">
        <f t="shared" ca="1" si="32"/>
        <v>28</v>
      </c>
      <c r="M304" s="2">
        <v>2</v>
      </c>
      <c r="N304" s="2">
        <v>1</v>
      </c>
      <c r="O304" s="2">
        <v>16</v>
      </c>
      <c r="P304" s="2">
        <f t="shared" ca="1" si="33"/>
        <v>7.1428571428571425E-2</v>
      </c>
      <c r="Q304" s="2">
        <f t="shared" ca="1" si="34"/>
        <v>58.655462184873954</v>
      </c>
      <c r="R304" s="2">
        <v>0.93410000000000004</v>
      </c>
      <c r="S304" s="2">
        <f t="shared" si="39"/>
        <v>59.169394117647066</v>
      </c>
      <c r="T304" s="2">
        <v>2</v>
      </c>
      <c r="U304" s="2">
        <v>4</v>
      </c>
      <c r="V304" s="2">
        <v>7.5</v>
      </c>
      <c r="W304" s="2">
        <f t="shared" si="35"/>
        <v>3.872983346207417</v>
      </c>
      <c r="X304" s="2">
        <v>1</v>
      </c>
      <c r="Y304" s="2">
        <f t="shared" si="36"/>
        <v>2.8284271247461903</v>
      </c>
      <c r="Z304" s="2">
        <v>7.5</v>
      </c>
      <c r="AA304" s="2">
        <f t="shared" si="37"/>
        <v>3.872983346207417</v>
      </c>
      <c r="AB304" s="2">
        <f t="shared" si="38"/>
        <v>3.3166247903553998</v>
      </c>
      <c r="AC304" s="2">
        <v>4.2426000000000004</v>
      </c>
      <c r="AD304" s="2">
        <v>2</v>
      </c>
      <c r="AE304" s="2">
        <v>1</v>
      </c>
      <c r="AF304" s="2">
        <v>0</v>
      </c>
      <c r="AG304" s="2">
        <v>0</v>
      </c>
      <c r="AH304" s="2">
        <v>1</v>
      </c>
      <c r="AI304" t="s">
        <v>45</v>
      </c>
    </row>
    <row r="305" spans="1:35" x14ac:dyDescent="0.3">
      <c r="A305" s="2" t="s">
        <v>35</v>
      </c>
      <c r="B305" s="2" t="s">
        <v>970</v>
      </c>
      <c r="C305" s="2" t="s">
        <v>971</v>
      </c>
      <c r="D305" s="2" t="s">
        <v>43</v>
      </c>
      <c r="E305" s="2" t="s">
        <v>972</v>
      </c>
      <c r="F305" s="2">
        <v>2007</v>
      </c>
      <c r="G305" s="2">
        <v>4</v>
      </c>
      <c r="H305" s="2">
        <v>0</v>
      </c>
      <c r="I305" s="2">
        <v>4</v>
      </c>
      <c r="J305" s="2">
        <v>4</v>
      </c>
      <c r="K305" s="2">
        <v>4</v>
      </c>
      <c r="L305" s="2">
        <f t="shared" ca="1" si="32"/>
        <v>19</v>
      </c>
      <c r="M305" s="2">
        <v>1</v>
      </c>
      <c r="N305" s="2">
        <v>0</v>
      </c>
      <c r="O305" s="2">
        <v>4</v>
      </c>
      <c r="P305" s="2">
        <f t="shared" ca="1" si="33"/>
        <v>5.2631578947368418E-2</v>
      </c>
      <c r="Q305" s="2">
        <f t="shared" ca="1" si="34"/>
        <v>76.31578947368422</v>
      </c>
      <c r="R305" s="2">
        <v>0.54769999999999996</v>
      </c>
      <c r="S305" s="2">
        <f t="shared" si="39"/>
        <v>75.547700000000006</v>
      </c>
      <c r="T305" s="2">
        <v>1</v>
      </c>
      <c r="U305" s="2">
        <v>2</v>
      </c>
      <c r="V305" s="2">
        <v>3</v>
      </c>
      <c r="W305" s="2">
        <f t="shared" si="35"/>
        <v>1.7320508075688772</v>
      </c>
      <c r="X305" s="2">
        <v>1</v>
      </c>
      <c r="Y305" s="2">
        <f t="shared" si="36"/>
        <v>1.4142135623730951</v>
      </c>
      <c r="Z305" s="2">
        <v>3</v>
      </c>
      <c r="AA305" s="2">
        <f t="shared" si="37"/>
        <v>1.7320508075688772</v>
      </c>
      <c r="AB305" s="2">
        <f t="shared" si="38"/>
        <v>1.4142135623730951</v>
      </c>
      <c r="AC305" s="2">
        <v>1.7321</v>
      </c>
      <c r="AD305" s="2">
        <v>1</v>
      </c>
      <c r="AE305" s="2">
        <v>0</v>
      </c>
      <c r="AF305" s="2">
        <v>0</v>
      </c>
      <c r="AG305" s="2">
        <v>0</v>
      </c>
      <c r="AH305" s="2">
        <v>1</v>
      </c>
      <c r="AI305" t="s">
        <v>45</v>
      </c>
    </row>
    <row r="306" spans="1:35" x14ac:dyDescent="0.3">
      <c r="A306" s="2" t="s">
        <v>35</v>
      </c>
      <c r="B306" s="2" t="s">
        <v>973</v>
      </c>
      <c r="C306" s="2" t="s">
        <v>974</v>
      </c>
      <c r="D306" s="2" t="s">
        <v>109</v>
      </c>
      <c r="E306" s="2" t="s">
        <v>975</v>
      </c>
      <c r="F306" s="2">
        <v>2008</v>
      </c>
      <c r="G306" s="2">
        <v>27</v>
      </c>
      <c r="H306" s="2">
        <v>1</v>
      </c>
      <c r="I306" s="2">
        <v>5</v>
      </c>
      <c r="J306" s="2">
        <v>6</v>
      </c>
      <c r="K306" s="2">
        <v>8</v>
      </c>
      <c r="L306" s="2">
        <f t="shared" ca="1" si="32"/>
        <v>18</v>
      </c>
      <c r="M306" s="2">
        <v>5</v>
      </c>
      <c r="N306" s="2">
        <v>3</v>
      </c>
      <c r="O306" s="2">
        <v>101</v>
      </c>
      <c r="P306" s="2">
        <f t="shared" ca="1" si="33"/>
        <v>0.27777777777777779</v>
      </c>
      <c r="Q306" s="2">
        <f t="shared" ca="1" si="34"/>
        <v>33.991769547325106</v>
      </c>
      <c r="R306" s="2">
        <v>3.0697000000000001</v>
      </c>
      <c r="S306" s="2">
        <f t="shared" si="39"/>
        <v>36.032662962962959</v>
      </c>
      <c r="T306" s="2">
        <v>5</v>
      </c>
      <c r="U306" s="2">
        <v>9</v>
      </c>
      <c r="V306" s="2">
        <v>13.6</v>
      </c>
      <c r="W306" s="2">
        <f t="shared" si="35"/>
        <v>8.2462112512353212</v>
      </c>
      <c r="X306" s="2">
        <v>3</v>
      </c>
      <c r="Y306" s="2">
        <f t="shared" si="36"/>
        <v>6.7082039324993694</v>
      </c>
      <c r="Z306" s="2">
        <v>11</v>
      </c>
      <c r="AA306" s="2">
        <f t="shared" si="37"/>
        <v>7.416198487095663</v>
      </c>
      <c r="AB306" s="2">
        <f t="shared" si="38"/>
        <v>6.5574385243020004</v>
      </c>
      <c r="AC306" s="2">
        <v>12.688599999999999</v>
      </c>
      <c r="AD306" s="2">
        <v>4</v>
      </c>
      <c r="AE306" s="2">
        <v>1</v>
      </c>
      <c r="AF306" s="2">
        <v>4</v>
      </c>
      <c r="AG306" s="2">
        <v>3</v>
      </c>
      <c r="AH306" s="2">
        <v>2</v>
      </c>
      <c r="AI306" t="s">
        <v>93</v>
      </c>
    </row>
    <row r="307" spans="1:35" x14ac:dyDescent="0.3">
      <c r="A307" s="2" t="s">
        <v>35</v>
      </c>
      <c r="B307" s="2" t="s">
        <v>976</v>
      </c>
      <c r="C307" s="2" t="s">
        <v>977</v>
      </c>
      <c r="D307" s="2" t="s">
        <v>43</v>
      </c>
      <c r="E307" s="2" t="s">
        <v>978</v>
      </c>
      <c r="F307" s="2">
        <v>2012</v>
      </c>
      <c r="G307" s="2">
        <v>6</v>
      </c>
      <c r="H307" s="2">
        <v>0</v>
      </c>
      <c r="I307" s="2">
        <v>6</v>
      </c>
      <c r="J307" s="2">
        <v>6</v>
      </c>
      <c r="K307" s="2">
        <v>6</v>
      </c>
      <c r="L307" s="2">
        <f t="shared" ca="1" si="32"/>
        <v>14</v>
      </c>
      <c r="M307" s="2">
        <v>1</v>
      </c>
      <c r="N307" s="2">
        <v>0</v>
      </c>
      <c r="O307" s="2">
        <v>2</v>
      </c>
      <c r="P307" s="2">
        <f t="shared" ca="1" si="33"/>
        <v>7.1428571428571425E-2</v>
      </c>
      <c r="Q307" s="2">
        <f t="shared" ca="1" si="34"/>
        <v>67.857142857142861</v>
      </c>
      <c r="R307" s="2">
        <v>0.378</v>
      </c>
      <c r="S307" s="2">
        <f t="shared" si="39"/>
        <v>67.044666666666672</v>
      </c>
      <c r="T307" s="2">
        <v>1</v>
      </c>
      <c r="U307" s="2">
        <v>1</v>
      </c>
      <c r="V307" s="2">
        <v>1</v>
      </c>
      <c r="W307" s="2">
        <f t="shared" si="35"/>
        <v>1</v>
      </c>
      <c r="X307" s="2">
        <v>1</v>
      </c>
      <c r="Y307" s="2">
        <f t="shared" si="36"/>
        <v>1</v>
      </c>
      <c r="Z307" s="2">
        <v>1</v>
      </c>
      <c r="AA307" s="2">
        <f t="shared" si="37"/>
        <v>1</v>
      </c>
      <c r="AB307" s="2">
        <f t="shared" si="38"/>
        <v>0</v>
      </c>
      <c r="AC307" s="2">
        <v>1</v>
      </c>
      <c r="AD307" s="2">
        <v>1</v>
      </c>
      <c r="AE307" s="2">
        <v>0</v>
      </c>
      <c r="AF307" s="2">
        <v>0</v>
      </c>
      <c r="AG307" s="2">
        <v>0</v>
      </c>
      <c r="AH307" s="2">
        <v>1</v>
      </c>
      <c r="AI307" t="s">
        <v>45</v>
      </c>
    </row>
    <row r="308" spans="1:35" x14ac:dyDescent="0.3">
      <c r="A308" s="2" t="s">
        <v>35</v>
      </c>
      <c r="B308" s="2" t="s">
        <v>979</v>
      </c>
      <c r="C308" s="2" t="s">
        <v>980</v>
      </c>
      <c r="D308" s="2" t="s">
        <v>91</v>
      </c>
      <c r="E308" s="2" t="s">
        <v>981</v>
      </c>
      <c r="F308" s="2">
        <v>2003</v>
      </c>
      <c r="G308" s="2">
        <v>23</v>
      </c>
      <c r="H308" s="2">
        <v>7</v>
      </c>
      <c r="I308" s="2">
        <v>8</v>
      </c>
      <c r="J308" s="2">
        <v>2</v>
      </c>
      <c r="K308" s="2">
        <v>8</v>
      </c>
      <c r="L308" s="2">
        <f t="shared" ca="1" si="32"/>
        <v>23</v>
      </c>
      <c r="M308" s="2">
        <v>2</v>
      </c>
      <c r="N308" s="2">
        <v>1</v>
      </c>
      <c r="O308" s="2">
        <v>32</v>
      </c>
      <c r="P308" s="2">
        <f t="shared" ca="1" si="33"/>
        <v>8.6956521739130432E-2</v>
      </c>
      <c r="Q308" s="2">
        <f t="shared" ca="1" si="34"/>
        <v>23.421550094517958</v>
      </c>
      <c r="R308" s="2">
        <v>2.8283999999999998</v>
      </c>
      <c r="S308" s="2">
        <f t="shared" si="39"/>
        <v>25.871878260869561</v>
      </c>
      <c r="T308" s="2">
        <v>2</v>
      </c>
      <c r="U308" s="2">
        <v>5</v>
      </c>
      <c r="V308" s="2">
        <v>12</v>
      </c>
      <c r="W308" s="2">
        <f t="shared" si="35"/>
        <v>4.8989794855663558</v>
      </c>
      <c r="X308" s="2">
        <v>2</v>
      </c>
      <c r="Y308" s="2">
        <f t="shared" si="36"/>
        <v>3.1622776601683795</v>
      </c>
      <c r="Z308" s="2">
        <v>12</v>
      </c>
      <c r="AA308" s="2">
        <f t="shared" si="37"/>
        <v>4.8989794855663558</v>
      </c>
      <c r="AB308" s="2">
        <f t="shared" si="38"/>
        <v>4.4721359549995796</v>
      </c>
      <c r="AC308" s="2">
        <v>5.4771999999999998</v>
      </c>
      <c r="AD308" s="2">
        <v>1</v>
      </c>
      <c r="AE308" s="2">
        <v>2</v>
      </c>
      <c r="AF308" s="2">
        <v>0</v>
      </c>
      <c r="AG308" s="2">
        <v>2</v>
      </c>
      <c r="AH308" s="2">
        <v>0</v>
      </c>
      <c r="AI308" t="s">
        <v>93</v>
      </c>
    </row>
    <row r="309" spans="1:35" x14ac:dyDescent="0.3">
      <c r="A309" s="2" t="s">
        <v>35</v>
      </c>
      <c r="B309" s="2" t="s">
        <v>982</v>
      </c>
      <c r="C309" s="2" t="s">
        <v>983</v>
      </c>
      <c r="D309" s="2" t="s">
        <v>187</v>
      </c>
      <c r="E309" s="2" t="s">
        <v>984</v>
      </c>
      <c r="F309" s="2">
        <v>1991</v>
      </c>
      <c r="G309" s="2">
        <v>205</v>
      </c>
      <c r="H309" s="2">
        <v>18</v>
      </c>
      <c r="I309" s="2">
        <v>57</v>
      </c>
      <c r="J309" s="2">
        <v>78</v>
      </c>
      <c r="K309" s="2">
        <v>95</v>
      </c>
      <c r="L309" s="2">
        <f t="shared" ca="1" si="32"/>
        <v>35</v>
      </c>
      <c r="M309" s="2">
        <v>35</v>
      </c>
      <c r="N309" s="2">
        <v>73</v>
      </c>
      <c r="O309" s="2">
        <v>4785</v>
      </c>
      <c r="P309" s="2">
        <f t="shared" ca="1" si="33"/>
        <v>1</v>
      </c>
      <c r="Q309" s="2">
        <f t="shared" ca="1" si="34"/>
        <v>39.853658536585364</v>
      </c>
      <c r="R309" s="2">
        <v>14.2037</v>
      </c>
      <c r="S309" s="2">
        <f t="shared" si="39"/>
        <v>53.569553658536584</v>
      </c>
      <c r="T309" s="2">
        <v>35</v>
      </c>
      <c r="U309" s="2">
        <v>66</v>
      </c>
      <c r="V309" s="2">
        <v>110.0286</v>
      </c>
      <c r="W309" s="2">
        <f t="shared" si="35"/>
        <v>62.05643399358361</v>
      </c>
      <c r="X309" s="2">
        <v>9</v>
      </c>
      <c r="Y309" s="2">
        <f t="shared" si="36"/>
        <v>48.062459362791664</v>
      </c>
      <c r="Z309" s="2">
        <v>58</v>
      </c>
      <c r="AA309" s="2">
        <f t="shared" si="37"/>
        <v>45.055521304275238</v>
      </c>
      <c r="AB309" s="2">
        <f t="shared" si="38"/>
        <v>51.244521658417298</v>
      </c>
      <c r="AC309" s="2">
        <v>184.39359999999999</v>
      </c>
      <c r="AD309" s="2">
        <v>25</v>
      </c>
      <c r="AE309" s="2">
        <v>8</v>
      </c>
      <c r="AF309" s="2">
        <v>18</v>
      </c>
      <c r="AG309" s="2">
        <v>14</v>
      </c>
      <c r="AH309" s="2">
        <v>17</v>
      </c>
      <c r="AI309" t="s">
        <v>45</v>
      </c>
    </row>
    <row r="310" spans="1:35" x14ac:dyDescent="0.3">
      <c r="A310" s="2" t="s">
        <v>35</v>
      </c>
      <c r="B310" s="2" t="s">
        <v>985</v>
      </c>
      <c r="C310" s="2" t="s">
        <v>986</v>
      </c>
      <c r="D310" s="2" t="s">
        <v>43</v>
      </c>
      <c r="E310" s="2" t="s">
        <v>987</v>
      </c>
      <c r="F310" s="2">
        <v>2004</v>
      </c>
      <c r="G310" s="2">
        <v>26</v>
      </c>
      <c r="H310" s="2">
        <v>0</v>
      </c>
      <c r="I310" s="2">
        <v>19</v>
      </c>
      <c r="J310" s="2">
        <v>22</v>
      </c>
      <c r="K310" s="2">
        <v>22</v>
      </c>
      <c r="L310" s="2">
        <f t="shared" ca="1" si="32"/>
        <v>22</v>
      </c>
      <c r="M310" s="2">
        <v>4</v>
      </c>
      <c r="N310" s="2">
        <v>0</v>
      </c>
      <c r="O310" s="2">
        <v>34</v>
      </c>
      <c r="P310" s="2">
        <f t="shared" ca="1" si="33"/>
        <v>0.18181818181818182</v>
      </c>
      <c r="Q310" s="2">
        <f t="shared" ca="1" si="34"/>
        <v>58.391608391608393</v>
      </c>
      <c r="R310" s="2">
        <v>1.538</v>
      </c>
      <c r="S310" s="2">
        <f t="shared" si="39"/>
        <v>59.23030769230769</v>
      </c>
      <c r="T310" s="2">
        <v>4</v>
      </c>
      <c r="U310" s="2">
        <v>5</v>
      </c>
      <c r="V310" s="2">
        <v>5.5</v>
      </c>
      <c r="W310" s="2">
        <f t="shared" si="35"/>
        <v>4.6904157598234297</v>
      </c>
      <c r="X310" s="2">
        <v>2</v>
      </c>
      <c r="Y310" s="2">
        <f t="shared" si="36"/>
        <v>4.4721359549995796</v>
      </c>
      <c r="Z310" s="2">
        <v>5</v>
      </c>
      <c r="AA310" s="2">
        <f t="shared" si="37"/>
        <v>4.4721359549995796</v>
      </c>
      <c r="AB310" s="2">
        <f t="shared" si="38"/>
        <v>2.4494897427831779</v>
      </c>
      <c r="AC310" s="2">
        <v>6.9282000000000004</v>
      </c>
      <c r="AD310" s="2">
        <v>4</v>
      </c>
      <c r="AE310" s="2">
        <v>0</v>
      </c>
      <c r="AF310" s="2">
        <v>1</v>
      </c>
      <c r="AG310" s="2">
        <v>0</v>
      </c>
      <c r="AH310" s="2">
        <v>4</v>
      </c>
      <c r="AI310" t="s">
        <v>45</v>
      </c>
    </row>
    <row r="311" spans="1:35" x14ac:dyDescent="0.3">
      <c r="A311" s="2" t="s">
        <v>35</v>
      </c>
      <c r="B311" s="2" t="s">
        <v>988</v>
      </c>
      <c r="C311" s="2" t="s">
        <v>989</v>
      </c>
      <c r="D311" s="2" t="s">
        <v>62</v>
      </c>
      <c r="E311" s="2" t="s">
        <v>990</v>
      </c>
      <c r="F311" s="2">
        <v>2017</v>
      </c>
      <c r="G311" s="2">
        <v>26</v>
      </c>
      <c r="H311" s="2">
        <v>1</v>
      </c>
      <c r="I311" s="2">
        <v>4</v>
      </c>
      <c r="J311" s="2">
        <v>2</v>
      </c>
      <c r="K311" s="2">
        <v>4</v>
      </c>
      <c r="L311" s="2">
        <f t="shared" ca="1" si="32"/>
        <v>9</v>
      </c>
      <c r="M311" s="2">
        <v>6</v>
      </c>
      <c r="N311" s="2">
        <v>3</v>
      </c>
      <c r="O311" s="2">
        <v>133</v>
      </c>
      <c r="P311" s="2">
        <f t="shared" ca="1" si="33"/>
        <v>0.66666666666666663</v>
      </c>
      <c r="Q311" s="2">
        <f t="shared" ca="1" si="34"/>
        <v>32.948717948717949</v>
      </c>
      <c r="R311" s="2">
        <v>4.2774000000000001</v>
      </c>
      <c r="S311" s="2">
        <f t="shared" si="39"/>
        <v>34.662015384615387</v>
      </c>
      <c r="T311" s="2">
        <v>6</v>
      </c>
      <c r="U311" s="2">
        <v>10</v>
      </c>
      <c r="V311" s="2">
        <v>16.166699999999999</v>
      </c>
      <c r="W311" s="2">
        <f t="shared" si="35"/>
        <v>9.8488679552525227</v>
      </c>
      <c r="X311" s="2">
        <v>3</v>
      </c>
      <c r="Y311" s="2">
        <f t="shared" si="36"/>
        <v>7.745966692414834</v>
      </c>
      <c r="Z311" s="2">
        <v>12.5</v>
      </c>
      <c r="AA311" s="2">
        <f t="shared" si="37"/>
        <v>8.6602540378443873</v>
      </c>
      <c r="AB311" s="2">
        <f t="shared" si="38"/>
        <v>7.8102624795841527</v>
      </c>
      <c r="AC311" s="2">
        <v>15.165800000000001</v>
      </c>
      <c r="AD311" s="2">
        <v>4</v>
      </c>
      <c r="AE311" s="2">
        <v>2</v>
      </c>
      <c r="AF311" s="2">
        <v>3</v>
      </c>
      <c r="AG311" s="2">
        <v>4</v>
      </c>
      <c r="AH311" s="2">
        <v>1</v>
      </c>
      <c r="AI311" t="s">
        <v>64</v>
      </c>
    </row>
    <row r="312" spans="1:35" x14ac:dyDescent="0.3">
      <c r="A312" s="2" t="s">
        <v>35</v>
      </c>
      <c r="B312" s="2" t="s">
        <v>991</v>
      </c>
      <c r="C312" s="2" t="s">
        <v>992</v>
      </c>
      <c r="D312" s="2" t="s">
        <v>993</v>
      </c>
      <c r="E312" s="2" t="s">
        <v>994</v>
      </c>
      <c r="F312" s="2">
        <v>1953</v>
      </c>
      <c r="G312" s="2">
        <v>141</v>
      </c>
      <c r="H312" s="2">
        <v>14</v>
      </c>
      <c r="I312" s="2">
        <v>75</v>
      </c>
      <c r="J312" s="2">
        <v>20</v>
      </c>
      <c r="K312" s="2">
        <v>75</v>
      </c>
      <c r="L312" s="2">
        <f t="shared" ca="1" si="32"/>
        <v>73</v>
      </c>
      <c r="M312" s="2">
        <v>12</v>
      </c>
      <c r="N312" s="2">
        <v>15</v>
      </c>
      <c r="O312" s="2">
        <v>661</v>
      </c>
      <c r="P312" s="2">
        <f t="shared" ca="1" si="33"/>
        <v>0.16438356164383561</v>
      </c>
      <c r="Q312" s="2">
        <f t="shared" ca="1" si="34"/>
        <v>34.230059263577189</v>
      </c>
      <c r="R312" s="2">
        <v>4.5613999999999999</v>
      </c>
      <c r="S312" s="2">
        <f t="shared" si="39"/>
        <v>38.674875177304969</v>
      </c>
      <c r="T312" s="2">
        <v>12</v>
      </c>
      <c r="U312" s="2">
        <v>23</v>
      </c>
      <c r="V312" s="2">
        <v>40.166699999999999</v>
      </c>
      <c r="W312" s="2">
        <f t="shared" si="35"/>
        <v>21.954507509848632</v>
      </c>
      <c r="X312" s="2">
        <v>5</v>
      </c>
      <c r="Y312" s="2">
        <f t="shared" si="36"/>
        <v>16.61324772583615</v>
      </c>
      <c r="Z312" s="2">
        <v>27</v>
      </c>
      <c r="AA312" s="2">
        <f t="shared" si="37"/>
        <v>18</v>
      </c>
      <c r="AB312" s="2">
        <f t="shared" si="38"/>
        <v>18.384787189412883</v>
      </c>
      <c r="AC312" s="2">
        <v>44.034100000000002</v>
      </c>
      <c r="AD312" s="2">
        <v>9</v>
      </c>
      <c r="AE312" s="2">
        <v>8</v>
      </c>
      <c r="AF312" s="2">
        <v>4</v>
      </c>
      <c r="AG312" s="2">
        <v>5</v>
      </c>
      <c r="AH312" s="2">
        <v>4</v>
      </c>
      <c r="AI312" t="s">
        <v>64</v>
      </c>
    </row>
    <row r="313" spans="1:35" x14ac:dyDescent="0.3">
      <c r="A313" s="2" t="s">
        <v>35</v>
      </c>
      <c r="B313" s="2" t="s">
        <v>995</v>
      </c>
      <c r="C313" s="2" t="s">
        <v>996</v>
      </c>
      <c r="D313" s="2" t="s">
        <v>55</v>
      </c>
      <c r="E313" s="2" t="s">
        <v>997</v>
      </c>
      <c r="F313" s="2">
        <v>2014</v>
      </c>
      <c r="G313" s="2">
        <v>5</v>
      </c>
      <c r="H313" s="2">
        <v>0</v>
      </c>
      <c r="I313" s="2">
        <v>5</v>
      </c>
      <c r="J313" s="2">
        <v>5</v>
      </c>
      <c r="K313" s="2">
        <v>5</v>
      </c>
      <c r="L313" s="2">
        <f t="shared" ca="1" si="32"/>
        <v>12</v>
      </c>
      <c r="M313" s="2">
        <v>2</v>
      </c>
      <c r="N313" s="2">
        <v>0</v>
      </c>
      <c r="O313" s="2">
        <v>7</v>
      </c>
      <c r="P313" s="2">
        <f t="shared" ca="1" si="33"/>
        <v>0.16666666666666666</v>
      </c>
      <c r="Q313" s="2">
        <f t="shared" ca="1" si="34"/>
        <v>93.333333333333343</v>
      </c>
      <c r="R313" s="2">
        <v>0.73850000000000005</v>
      </c>
      <c r="S313" s="2">
        <f t="shared" si="39"/>
        <v>90.738500000000002</v>
      </c>
      <c r="T313" s="2">
        <v>2</v>
      </c>
      <c r="U313" s="2">
        <v>2</v>
      </c>
      <c r="V313" s="2">
        <v>3</v>
      </c>
      <c r="W313" s="2">
        <f t="shared" si="35"/>
        <v>2.4494897427831779</v>
      </c>
      <c r="X313" s="2">
        <v>1</v>
      </c>
      <c r="Y313" s="2">
        <f t="shared" si="36"/>
        <v>2</v>
      </c>
      <c r="Z313" s="2">
        <v>3</v>
      </c>
      <c r="AA313" s="2">
        <f t="shared" si="37"/>
        <v>2.4494897427831779</v>
      </c>
      <c r="AB313" s="2">
        <f t="shared" si="38"/>
        <v>1.4142135623730951</v>
      </c>
      <c r="AC313" s="2">
        <v>2.8283999999999998</v>
      </c>
      <c r="AD313" s="2">
        <v>2</v>
      </c>
      <c r="AE313" s="2">
        <v>0</v>
      </c>
      <c r="AF313" s="2">
        <v>0</v>
      </c>
      <c r="AG313" s="2">
        <v>0</v>
      </c>
      <c r="AH313" s="2">
        <v>2</v>
      </c>
      <c r="AI313" t="s">
        <v>45</v>
      </c>
    </row>
    <row r="314" spans="1:35" x14ac:dyDescent="0.3">
      <c r="A314" s="2" t="s">
        <v>35</v>
      </c>
      <c r="B314" s="2" t="s">
        <v>998</v>
      </c>
      <c r="C314" s="2" t="s">
        <v>999</v>
      </c>
      <c r="D314" s="2" t="s">
        <v>109</v>
      </c>
      <c r="E314" s="2" t="s">
        <v>1000</v>
      </c>
      <c r="F314" s="2">
        <v>2023</v>
      </c>
      <c r="G314" s="2">
        <v>7</v>
      </c>
      <c r="H314" s="2">
        <v>3</v>
      </c>
      <c r="I314" s="2">
        <v>0</v>
      </c>
      <c r="J314" s="2">
        <v>2</v>
      </c>
      <c r="K314" s="2">
        <v>2</v>
      </c>
      <c r="L314" s="2">
        <f t="shared" ca="1" si="32"/>
        <v>3</v>
      </c>
      <c r="M314" s="2">
        <v>3</v>
      </c>
      <c r="N314" s="2">
        <v>1</v>
      </c>
      <c r="O314" s="2">
        <v>110</v>
      </c>
      <c r="P314" s="2">
        <f t="shared" ca="1" si="33"/>
        <v>1</v>
      </c>
      <c r="Q314" s="2">
        <f t="shared" ca="1" si="34"/>
        <v>67.142857142857153</v>
      </c>
      <c r="R314" s="2">
        <v>6</v>
      </c>
      <c r="S314" s="2">
        <f t="shared" si="39"/>
        <v>58.857142857142861</v>
      </c>
      <c r="T314" s="2">
        <v>3</v>
      </c>
      <c r="U314" s="2">
        <v>7</v>
      </c>
      <c r="V314" s="2">
        <v>36</v>
      </c>
      <c r="W314" s="2">
        <f t="shared" si="35"/>
        <v>10.392304845413264</v>
      </c>
      <c r="X314" s="2">
        <v>1</v>
      </c>
      <c r="Y314" s="2">
        <f t="shared" si="36"/>
        <v>4.5825756949558398</v>
      </c>
      <c r="Z314" s="2">
        <v>3</v>
      </c>
      <c r="AA314" s="2">
        <f t="shared" si="37"/>
        <v>3</v>
      </c>
      <c r="AB314" s="2">
        <f t="shared" si="38"/>
        <v>9.9498743710661994</v>
      </c>
      <c r="AC314" s="2">
        <v>10.816700000000001</v>
      </c>
      <c r="AD314" s="2">
        <v>3</v>
      </c>
      <c r="AE314" s="2">
        <v>0</v>
      </c>
      <c r="AF314" s="2">
        <v>0</v>
      </c>
      <c r="AG314" s="2">
        <v>1</v>
      </c>
      <c r="AH314" s="2">
        <v>2</v>
      </c>
      <c r="AI314" t="s">
        <v>93</v>
      </c>
    </row>
    <row r="315" spans="1:35" x14ac:dyDescent="0.3">
      <c r="A315" s="2" t="s">
        <v>35</v>
      </c>
      <c r="B315" s="2" t="s">
        <v>1001</v>
      </c>
      <c r="C315" s="2" t="s">
        <v>1002</v>
      </c>
      <c r="D315" s="2" t="s">
        <v>51</v>
      </c>
      <c r="E315" s="2" t="s">
        <v>1003</v>
      </c>
      <c r="F315" s="2">
        <v>1972</v>
      </c>
      <c r="G315" s="2">
        <v>173</v>
      </c>
      <c r="H315" s="2">
        <v>57</v>
      </c>
      <c r="I315" s="2">
        <v>40</v>
      </c>
      <c r="J315" s="2">
        <v>11</v>
      </c>
      <c r="K315" s="2">
        <v>41</v>
      </c>
      <c r="L315" s="2">
        <f t="shared" ca="1" si="32"/>
        <v>54</v>
      </c>
      <c r="M315" s="2">
        <v>24</v>
      </c>
      <c r="N315" s="2">
        <v>45</v>
      </c>
      <c r="O315" s="2">
        <v>1925</v>
      </c>
      <c r="P315" s="2">
        <f t="shared" ca="1" si="33"/>
        <v>0.44444444444444442</v>
      </c>
      <c r="Q315" s="2">
        <f t="shared" ca="1" si="34"/>
        <v>22.684649967886962</v>
      </c>
      <c r="R315" s="2">
        <v>10.493600000000001</v>
      </c>
      <c r="S315" s="2">
        <f t="shared" si="39"/>
        <v>32.921345664739889</v>
      </c>
      <c r="T315" s="2">
        <v>24</v>
      </c>
      <c r="U315" s="2">
        <v>40</v>
      </c>
      <c r="V315" s="2">
        <v>55.625</v>
      </c>
      <c r="W315" s="2">
        <f t="shared" si="35"/>
        <v>36.537651812890218</v>
      </c>
      <c r="X315" s="2">
        <v>7</v>
      </c>
      <c r="Y315" s="2">
        <f t="shared" si="36"/>
        <v>30.983866769659336</v>
      </c>
      <c r="Z315" s="2">
        <v>42.5</v>
      </c>
      <c r="AA315" s="2">
        <f t="shared" si="37"/>
        <v>31.937438845342623</v>
      </c>
      <c r="AB315" s="2">
        <f t="shared" si="38"/>
        <v>27.54995462791182</v>
      </c>
      <c r="AC315" s="2">
        <v>105.78749999999999</v>
      </c>
      <c r="AD315" s="2">
        <v>16</v>
      </c>
      <c r="AE315" s="2">
        <v>7</v>
      </c>
      <c r="AF315" s="2">
        <v>14</v>
      </c>
      <c r="AG315" s="2">
        <v>15</v>
      </c>
      <c r="AH315" s="2">
        <v>5</v>
      </c>
      <c r="AI315" t="s">
        <v>40</v>
      </c>
    </row>
    <row r="316" spans="1:35" x14ac:dyDescent="0.3">
      <c r="A316" s="2" t="s">
        <v>35</v>
      </c>
      <c r="B316" s="2" t="s">
        <v>1004</v>
      </c>
      <c r="C316" s="2" t="s">
        <v>1005</v>
      </c>
      <c r="D316" s="2" t="s">
        <v>51</v>
      </c>
      <c r="E316" s="2" t="s">
        <v>1006</v>
      </c>
      <c r="F316" s="2">
        <v>1994</v>
      </c>
      <c r="G316" s="2">
        <v>77</v>
      </c>
      <c r="H316" s="2">
        <v>9</v>
      </c>
      <c r="I316" s="2">
        <v>43</v>
      </c>
      <c r="J316" s="2">
        <v>14</v>
      </c>
      <c r="K316" s="2">
        <v>43</v>
      </c>
      <c r="L316" s="2">
        <f t="shared" ca="1" si="32"/>
        <v>32</v>
      </c>
      <c r="M316" s="2">
        <v>14</v>
      </c>
      <c r="N316" s="2">
        <v>15</v>
      </c>
      <c r="O316" s="2">
        <v>998</v>
      </c>
      <c r="P316" s="2">
        <f t="shared" ca="1" si="33"/>
        <v>0.4375</v>
      </c>
      <c r="Q316" s="2">
        <f t="shared" ca="1" si="34"/>
        <v>45.503246753246756</v>
      </c>
      <c r="R316" s="2">
        <v>9.5618999999999996</v>
      </c>
      <c r="S316" s="2">
        <f t="shared" si="39"/>
        <v>54.496964935064938</v>
      </c>
      <c r="T316" s="2">
        <v>14</v>
      </c>
      <c r="U316" s="2">
        <v>31</v>
      </c>
      <c r="V316" s="2">
        <v>62.714300000000001</v>
      </c>
      <c r="W316" s="2">
        <f t="shared" si="35"/>
        <v>29.63106815489445</v>
      </c>
      <c r="X316" s="2">
        <v>6</v>
      </c>
      <c r="Y316" s="2">
        <f t="shared" si="36"/>
        <v>20.83266665599966</v>
      </c>
      <c r="Z316" s="2">
        <v>36.5</v>
      </c>
      <c r="AA316" s="2">
        <f t="shared" si="37"/>
        <v>22.605309110914629</v>
      </c>
      <c r="AB316" s="2">
        <f t="shared" si="38"/>
        <v>26.115133543598816</v>
      </c>
      <c r="AC316" s="2">
        <v>62.040300000000002</v>
      </c>
      <c r="AD316" s="2">
        <v>12</v>
      </c>
      <c r="AE316" s="2">
        <v>6</v>
      </c>
      <c r="AF316" s="2">
        <v>7</v>
      </c>
      <c r="AG316" s="2">
        <v>4</v>
      </c>
      <c r="AH316" s="2">
        <v>3</v>
      </c>
      <c r="AI316" t="s">
        <v>40</v>
      </c>
    </row>
    <row r="317" spans="1:35" x14ac:dyDescent="0.3">
      <c r="A317" s="2" t="s">
        <v>35</v>
      </c>
      <c r="B317" s="2" t="s">
        <v>1007</v>
      </c>
      <c r="C317" s="2" t="s">
        <v>1008</v>
      </c>
      <c r="D317" s="2" t="s">
        <v>128</v>
      </c>
      <c r="E317" s="2" t="s">
        <v>1009</v>
      </c>
      <c r="F317" s="2">
        <v>1994</v>
      </c>
      <c r="G317" s="2">
        <v>307</v>
      </c>
      <c r="H317" s="2">
        <v>48</v>
      </c>
      <c r="I317" s="2">
        <v>91</v>
      </c>
      <c r="J317" s="2">
        <v>70</v>
      </c>
      <c r="K317" s="2">
        <v>120</v>
      </c>
      <c r="L317" s="2">
        <f t="shared" ca="1" si="32"/>
        <v>32</v>
      </c>
      <c r="M317" s="2">
        <v>39</v>
      </c>
      <c r="N317" s="2">
        <v>109</v>
      </c>
      <c r="O317" s="2">
        <v>6399</v>
      </c>
      <c r="P317" s="2">
        <f t="shared" ca="1" si="33"/>
        <v>1.21875</v>
      </c>
      <c r="Q317" s="2">
        <f t="shared" ca="1" si="34"/>
        <v>31.08102605863192</v>
      </c>
      <c r="R317" s="2">
        <v>19.736499999999999</v>
      </c>
      <c r="S317" s="2">
        <f t="shared" si="39"/>
        <v>50.42053908794788</v>
      </c>
      <c r="T317" s="2">
        <v>39</v>
      </c>
      <c r="U317" s="2">
        <v>73</v>
      </c>
      <c r="V317" s="2">
        <v>117.2051</v>
      </c>
      <c r="W317" s="2">
        <f t="shared" si="35"/>
        <v>67.609162840549956</v>
      </c>
      <c r="X317" s="2">
        <v>10</v>
      </c>
      <c r="Y317" s="2">
        <f t="shared" si="36"/>
        <v>53.3572862878164</v>
      </c>
      <c r="Z317" s="2">
        <v>74</v>
      </c>
      <c r="AA317" s="2">
        <f t="shared" si="37"/>
        <v>53.721504074253168</v>
      </c>
      <c r="AB317" s="2">
        <f t="shared" si="38"/>
        <v>55.226795127003349</v>
      </c>
      <c r="AC317" s="2">
        <v>232.23480000000001</v>
      </c>
      <c r="AD317" s="2">
        <v>25</v>
      </c>
      <c r="AE317" s="2">
        <v>12</v>
      </c>
      <c r="AF317" s="2">
        <v>17</v>
      </c>
      <c r="AG317" s="2">
        <v>26</v>
      </c>
      <c r="AH317" s="2">
        <v>15</v>
      </c>
      <c r="AI317" t="s">
        <v>45</v>
      </c>
    </row>
    <row r="318" spans="1:35" x14ac:dyDescent="0.3">
      <c r="A318" s="2" t="s">
        <v>35</v>
      </c>
      <c r="B318" s="2" t="s">
        <v>1010</v>
      </c>
      <c r="C318" s="2" t="s">
        <v>1011</v>
      </c>
      <c r="D318" s="2" t="s">
        <v>38</v>
      </c>
      <c r="E318" s="2" t="s">
        <v>1012</v>
      </c>
      <c r="F318" s="2">
        <v>2001</v>
      </c>
      <c r="G318" s="2">
        <v>27</v>
      </c>
      <c r="H318" s="2">
        <v>0</v>
      </c>
      <c r="I318" s="2">
        <v>11</v>
      </c>
      <c r="J318" s="2">
        <v>7</v>
      </c>
      <c r="K318" s="2">
        <v>11</v>
      </c>
      <c r="L318" s="2">
        <f t="shared" ca="1" si="32"/>
        <v>25</v>
      </c>
      <c r="M318" s="2">
        <v>9</v>
      </c>
      <c r="N318" s="2">
        <v>9</v>
      </c>
      <c r="O318" s="2">
        <v>279</v>
      </c>
      <c r="P318" s="2">
        <f t="shared" ca="1" si="33"/>
        <v>0.36</v>
      </c>
      <c r="Q318" s="2">
        <f t="shared" ca="1" si="34"/>
        <v>55.037037037037038</v>
      </c>
      <c r="R318" s="2">
        <v>3.4552</v>
      </c>
      <c r="S318" s="2">
        <f t="shared" si="39"/>
        <v>57.1589037037037</v>
      </c>
      <c r="T318" s="2">
        <v>9</v>
      </c>
      <c r="U318" s="2">
        <v>16</v>
      </c>
      <c r="V318" s="2">
        <v>25</v>
      </c>
      <c r="W318" s="2">
        <f t="shared" si="35"/>
        <v>15</v>
      </c>
      <c r="X318" s="2">
        <v>5</v>
      </c>
      <c r="Y318" s="2">
        <f t="shared" si="36"/>
        <v>12</v>
      </c>
      <c r="Z318" s="2">
        <v>28</v>
      </c>
      <c r="AA318" s="2">
        <f t="shared" si="37"/>
        <v>15.874507866387544</v>
      </c>
      <c r="AB318" s="2">
        <f t="shared" si="38"/>
        <v>12</v>
      </c>
      <c r="AC318" s="2">
        <v>29.933299999999999</v>
      </c>
      <c r="AD318" s="2">
        <v>8</v>
      </c>
      <c r="AE318" s="2">
        <v>3</v>
      </c>
      <c r="AF318" s="2">
        <v>5</v>
      </c>
      <c r="AG318" s="2">
        <v>4</v>
      </c>
      <c r="AH318" s="2">
        <v>4</v>
      </c>
      <c r="AI318" t="s">
        <v>40</v>
      </c>
    </row>
    <row r="319" spans="1:35" x14ac:dyDescent="0.3">
      <c r="A319" s="2" t="s">
        <v>35</v>
      </c>
      <c r="B319" s="2" t="s">
        <v>1013</v>
      </c>
      <c r="C319" s="2" t="s">
        <v>1014</v>
      </c>
      <c r="D319" s="2" t="s">
        <v>38</v>
      </c>
      <c r="E319" s="2" t="s">
        <v>1015</v>
      </c>
      <c r="F319" s="2">
        <v>1997</v>
      </c>
      <c r="G319" s="2">
        <v>113</v>
      </c>
      <c r="H319" s="2">
        <v>52</v>
      </c>
      <c r="I319" s="2">
        <v>38</v>
      </c>
      <c r="J319" s="2">
        <v>7</v>
      </c>
      <c r="K319" s="2">
        <v>41</v>
      </c>
      <c r="L319" s="2">
        <f t="shared" ca="1" si="32"/>
        <v>29</v>
      </c>
      <c r="M319" s="2">
        <v>25</v>
      </c>
      <c r="N319" s="2">
        <v>39</v>
      </c>
      <c r="O319" s="2">
        <v>2812</v>
      </c>
      <c r="P319" s="2">
        <f t="shared" ca="1" si="33"/>
        <v>0.86206896551724133</v>
      </c>
      <c r="Q319" s="2">
        <f t="shared" ca="1" si="34"/>
        <v>36.426609703997556</v>
      </c>
      <c r="R319" s="2">
        <v>15.254899999999999</v>
      </c>
      <c r="S319" s="2">
        <f t="shared" si="39"/>
        <v>50.918616814159293</v>
      </c>
      <c r="T319" s="2">
        <v>25</v>
      </c>
      <c r="U319" s="2">
        <v>52</v>
      </c>
      <c r="V319" s="2">
        <v>98.68</v>
      </c>
      <c r="W319" s="2">
        <f t="shared" si="35"/>
        <v>49.668903752750573</v>
      </c>
      <c r="X319" s="2">
        <v>9</v>
      </c>
      <c r="Y319" s="2">
        <f t="shared" si="36"/>
        <v>36.055512754639892</v>
      </c>
      <c r="Z319" s="2">
        <v>58</v>
      </c>
      <c r="AA319" s="2">
        <f t="shared" si="37"/>
        <v>38.078865529319543</v>
      </c>
      <c r="AB319" s="2">
        <f t="shared" si="38"/>
        <v>42.918527467749868</v>
      </c>
      <c r="AC319" s="2">
        <v>138.5027</v>
      </c>
      <c r="AD319" s="2">
        <v>15</v>
      </c>
      <c r="AE319" s="2">
        <v>11</v>
      </c>
      <c r="AF319" s="2">
        <v>9</v>
      </c>
      <c r="AG319" s="2">
        <v>16</v>
      </c>
      <c r="AH319" s="2">
        <v>2</v>
      </c>
      <c r="AI319" t="s">
        <v>40</v>
      </c>
    </row>
    <row r="320" spans="1:35" x14ac:dyDescent="0.3">
      <c r="A320" s="2" t="s">
        <v>35</v>
      </c>
      <c r="B320" s="2" t="s">
        <v>1016</v>
      </c>
      <c r="C320" s="2" t="s">
        <v>1017</v>
      </c>
      <c r="D320" s="2" t="s">
        <v>91</v>
      </c>
      <c r="E320" s="2" t="s">
        <v>1018</v>
      </c>
      <c r="F320" s="2">
        <v>2005</v>
      </c>
      <c r="G320" s="2">
        <v>44</v>
      </c>
      <c r="H320" s="2">
        <v>12</v>
      </c>
      <c r="I320" s="2">
        <v>17</v>
      </c>
      <c r="J320" s="2">
        <v>7</v>
      </c>
      <c r="K320" s="2">
        <v>17</v>
      </c>
      <c r="L320" s="2">
        <f t="shared" ca="1" si="32"/>
        <v>21</v>
      </c>
      <c r="M320" s="2">
        <v>7</v>
      </c>
      <c r="N320" s="2">
        <v>5</v>
      </c>
      <c r="O320" s="2">
        <v>140</v>
      </c>
      <c r="P320" s="2">
        <f t="shared" ca="1" si="33"/>
        <v>0.33333333333333331</v>
      </c>
      <c r="Q320" s="2">
        <f t="shared" ca="1" si="34"/>
        <v>33.257575757575765</v>
      </c>
      <c r="R320" s="2">
        <v>4.0049000000000001</v>
      </c>
      <c r="S320" s="2">
        <f t="shared" si="39"/>
        <v>36.504900000000006</v>
      </c>
      <c r="T320" s="2">
        <v>7</v>
      </c>
      <c r="U320" s="2">
        <v>10</v>
      </c>
      <c r="V320" s="2">
        <v>13</v>
      </c>
      <c r="W320" s="2">
        <f t="shared" si="35"/>
        <v>9.5393920141694561</v>
      </c>
      <c r="X320" s="2">
        <v>3</v>
      </c>
      <c r="Y320" s="2">
        <f t="shared" si="36"/>
        <v>8.3666002653407556</v>
      </c>
      <c r="Z320" s="2">
        <v>12</v>
      </c>
      <c r="AA320" s="2">
        <f t="shared" si="37"/>
        <v>9.1651513899116797</v>
      </c>
      <c r="AB320" s="2">
        <f t="shared" si="38"/>
        <v>6.4807406984078604</v>
      </c>
      <c r="AC320" s="2">
        <v>17.578399999999998</v>
      </c>
      <c r="AD320" s="2">
        <v>4</v>
      </c>
      <c r="AE320" s="2">
        <v>2</v>
      </c>
      <c r="AF320" s="2">
        <v>6</v>
      </c>
      <c r="AG320" s="2">
        <v>2</v>
      </c>
      <c r="AH320" s="2">
        <v>2</v>
      </c>
      <c r="AI320" t="s">
        <v>93</v>
      </c>
    </row>
    <row r="321" spans="1:35" x14ac:dyDescent="0.3">
      <c r="A321" s="2" t="s">
        <v>35</v>
      </c>
      <c r="B321" s="2" t="s">
        <v>1019</v>
      </c>
      <c r="C321" s="2" t="s">
        <v>1020</v>
      </c>
      <c r="D321" s="2" t="s">
        <v>38</v>
      </c>
      <c r="E321" s="2" t="s">
        <v>1021</v>
      </c>
      <c r="F321" s="2">
        <v>2005</v>
      </c>
      <c r="G321" s="2">
        <v>18</v>
      </c>
      <c r="H321" s="2">
        <v>1</v>
      </c>
      <c r="I321" s="2">
        <v>8</v>
      </c>
      <c r="J321" s="2">
        <v>8</v>
      </c>
      <c r="K321" s="2">
        <v>8</v>
      </c>
      <c r="L321" s="2">
        <f t="shared" ca="1" si="32"/>
        <v>21</v>
      </c>
      <c r="M321" s="2">
        <v>5</v>
      </c>
      <c r="N321" s="2">
        <v>3</v>
      </c>
      <c r="O321" s="2">
        <v>261</v>
      </c>
      <c r="P321" s="2">
        <f t="shared" ca="1" si="33"/>
        <v>0.23809523809523808</v>
      </c>
      <c r="Q321" s="2">
        <f t="shared" ca="1" si="34"/>
        <v>50.767195767195766</v>
      </c>
      <c r="R321" s="2">
        <v>4.2202999999999999</v>
      </c>
      <c r="S321" s="2">
        <f t="shared" si="39"/>
        <v>53.664744444444445</v>
      </c>
      <c r="T321" s="2">
        <v>5</v>
      </c>
      <c r="U321" s="2">
        <v>16</v>
      </c>
      <c r="V321" s="2">
        <v>48.2</v>
      </c>
      <c r="W321" s="2">
        <f t="shared" si="35"/>
        <v>15.524174696260024</v>
      </c>
      <c r="X321" s="2">
        <v>3</v>
      </c>
      <c r="Y321" s="2">
        <f t="shared" si="36"/>
        <v>8.9442719099991592</v>
      </c>
      <c r="Z321" s="2">
        <v>10</v>
      </c>
      <c r="AA321" s="2">
        <f t="shared" si="37"/>
        <v>7.0710678118654755</v>
      </c>
      <c r="AB321" s="2">
        <f t="shared" si="38"/>
        <v>14.696938456699069</v>
      </c>
      <c r="AC321" s="2">
        <v>18.8414</v>
      </c>
      <c r="AD321" s="2">
        <v>4</v>
      </c>
      <c r="AE321" s="2">
        <v>0</v>
      </c>
      <c r="AF321" s="2">
        <v>3</v>
      </c>
      <c r="AG321" s="2">
        <v>1</v>
      </c>
      <c r="AH321" s="2">
        <v>3</v>
      </c>
      <c r="AI321" t="s">
        <v>40</v>
      </c>
    </row>
    <row r="322" spans="1:35" x14ac:dyDescent="0.3">
      <c r="A322" s="2" t="s">
        <v>35</v>
      </c>
      <c r="B322" s="2" t="s">
        <v>1022</v>
      </c>
      <c r="C322" s="2" t="s">
        <v>1023</v>
      </c>
      <c r="D322" s="2" t="s">
        <v>150</v>
      </c>
      <c r="E322" s="2" t="s">
        <v>1024</v>
      </c>
      <c r="F322" s="2">
        <v>2011</v>
      </c>
      <c r="G322" s="2">
        <v>23</v>
      </c>
      <c r="H322" s="2">
        <v>11</v>
      </c>
      <c r="I322" s="2">
        <v>11</v>
      </c>
      <c r="J322" s="2">
        <v>7</v>
      </c>
      <c r="K322" s="2">
        <v>11</v>
      </c>
      <c r="L322" s="2">
        <f t="shared" ref="L322:L333" ca="1" si="40">IF((YEAR(TODAY())-F322)&lt;=0,1,YEAR(TODAY())-F322)</f>
        <v>15</v>
      </c>
      <c r="M322" s="2">
        <v>6</v>
      </c>
      <c r="N322" s="2">
        <v>2</v>
      </c>
      <c r="O322" s="2">
        <v>103</v>
      </c>
      <c r="P322" s="2">
        <f t="shared" ref="P322:P333" ca="1" si="41">IFERROR(M322/L322,0)</f>
        <v>0.4</v>
      </c>
      <c r="Q322" s="2">
        <f t="shared" ref="Q322:Q385" ca="1" si="42">IFERROR((100/G322)*(M322-0.1*H322+0.5*K322+P322),0)</f>
        <v>46.956521739130437</v>
      </c>
      <c r="R322" s="2">
        <v>3.5785999999999998</v>
      </c>
      <c r="S322" s="2">
        <f t="shared" si="39"/>
        <v>48.795991304347829</v>
      </c>
      <c r="T322" s="2">
        <v>6</v>
      </c>
      <c r="U322" s="2">
        <v>9</v>
      </c>
      <c r="V322" s="2">
        <v>12.833299999999999</v>
      </c>
      <c r="W322" s="2">
        <f t="shared" ref="W322:W385" si="43">IFERROR(SQRT(V322*T322),0)</f>
        <v>8.7749529913270763</v>
      </c>
      <c r="X322" s="2">
        <v>3</v>
      </c>
      <c r="Y322" s="2">
        <f t="shared" ref="Y322:Y333" si="44">IFERROR(SQRT(T322*U322),0)</f>
        <v>7.3484692283495345</v>
      </c>
      <c r="Z322" s="2">
        <v>9</v>
      </c>
      <c r="AA322" s="2">
        <f t="shared" ref="AA322:AA385" si="45">IFERROR(SQRT(T322*Z322),0)</f>
        <v>7.3484692283495345</v>
      </c>
      <c r="AB322" s="2">
        <f t="shared" ref="AB322:AB333" si="46">IFERROR(SQRT(MAX(V322*T322-T322^2,0)),0)</f>
        <v>6.4031086200376137</v>
      </c>
      <c r="AC322" s="2">
        <v>14.3178</v>
      </c>
      <c r="AD322" s="2">
        <v>4</v>
      </c>
      <c r="AE322" s="2">
        <v>4</v>
      </c>
      <c r="AF322" s="2">
        <v>0</v>
      </c>
      <c r="AG322" s="2">
        <v>4</v>
      </c>
      <c r="AH322" s="2">
        <v>2</v>
      </c>
      <c r="AI322" t="s">
        <v>64</v>
      </c>
    </row>
    <row r="323" spans="1:35" x14ac:dyDescent="0.3">
      <c r="A323" s="2" t="s">
        <v>35</v>
      </c>
      <c r="B323" s="2" t="s">
        <v>1025</v>
      </c>
      <c r="C323" s="2" t="s">
        <v>1026</v>
      </c>
      <c r="D323" s="2" t="s">
        <v>1027</v>
      </c>
      <c r="E323" s="2" t="s">
        <v>1028</v>
      </c>
      <c r="F323" s="2">
        <v>2001</v>
      </c>
      <c r="G323" s="2">
        <v>16</v>
      </c>
      <c r="H323" s="2">
        <v>2</v>
      </c>
      <c r="I323" s="2">
        <v>5</v>
      </c>
      <c r="J323" s="2">
        <v>5</v>
      </c>
      <c r="K323" s="2">
        <v>6</v>
      </c>
      <c r="L323" s="2">
        <f t="shared" ca="1" si="40"/>
        <v>25</v>
      </c>
      <c r="M323" s="2">
        <v>5</v>
      </c>
      <c r="N323" s="2">
        <v>2</v>
      </c>
      <c r="O323" s="2">
        <v>77</v>
      </c>
      <c r="P323" s="2">
        <f t="shared" ca="1" si="41"/>
        <v>0.2</v>
      </c>
      <c r="Q323" s="2">
        <f t="shared" ca="1" si="42"/>
        <v>50</v>
      </c>
      <c r="R323" s="2">
        <v>2.5222000000000002</v>
      </c>
      <c r="S323" s="2">
        <f t="shared" ref="S323:S333" si="47">IFERROR((100/G323)*(M323-0.1*H323+0.5*K323)+R323,0)</f>
        <v>51.272199999999998</v>
      </c>
      <c r="T323" s="2">
        <v>5</v>
      </c>
      <c r="U323" s="2">
        <v>8</v>
      </c>
      <c r="V323" s="2">
        <v>12.4</v>
      </c>
      <c r="W323" s="2">
        <f t="shared" si="43"/>
        <v>7.8740078740118111</v>
      </c>
      <c r="X323" s="2">
        <v>2</v>
      </c>
      <c r="Y323" s="2">
        <f t="shared" si="44"/>
        <v>6.324555320336759</v>
      </c>
      <c r="Z323" s="2">
        <v>6</v>
      </c>
      <c r="AA323" s="2">
        <f t="shared" si="45"/>
        <v>5.4772255750516612</v>
      </c>
      <c r="AB323" s="2">
        <f t="shared" si="46"/>
        <v>6.0827625302982193</v>
      </c>
      <c r="AC323" s="2">
        <v>11.225</v>
      </c>
      <c r="AD323" s="2">
        <v>2</v>
      </c>
      <c r="AE323" s="2">
        <v>1</v>
      </c>
      <c r="AF323" s="2">
        <v>2</v>
      </c>
      <c r="AG323" s="2">
        <v>5</v>
      </c>
      <c r="AH323" s="2">
        <v>1</v>
      </c>
      <c r="AI323" t="s">
        <v>45</v>
      </c>
    </row>
    <row r="324" spans="1:35" x14ac:dyDescent="0.3">
      <c r="A324" s="2" t="s">
        <v>35</v>
      </c>
      <c r="B324" s="2" t="s">
        <v>1029</v>
      </c>
      <c r="C324" s="2" t="s">
        <v>1030</v>
      </c>
      <c r="D324" s="2" t="s">
        <v>67</v>
      </c>
      <c r="E324" s="2" t="s">
        <v>1031</v>
      </c>
      <c r="F324" s="2">
        <v>2011</v>
      </c>
      <c r="G324" s="2">
        <v>29</v>
      </c>
      <c r="H324" s="2">
        <v>24</v>
      </c>
      <c r="I324" s="2">
        <v>8</v>
      </c>
      <c r="J324" s="2">
        <v>2</v>
      </c>
      <c r="K324" s="2">
        <v>8</v>
      </c>
      <c r="L324" s="2">
        <f t="shared" ca="1" si="40"/>
        <v>15</v>
      </c>
      <c r="M324" s="2">
        <v>15</v>
      </c>
      <c r="N324" s="2">
        <v>15</v>
      </c>
      <c r="O324" s="2">
        <v>936</v>
      </c>
      <c r="P324" s="2">
        <f t="shared" ca="1" si="41"/>
        <v>1</v>
      </c>
      <c r="Q324" s="2">
        <f t="shared" ca="1" si="42"/>
        <v>60.689655172413794</v>
      </c>
      <c r="R324" s="2">
        <v>9.0146999999999995</v>
      </c>
      <c r="S324" s="2">
        <f t="shared" si="47"/>
        <v>66.25607931034483</v>
      </c>
      <c r="T324" s="2">
        <v>15</v>
      </c>
      <c r="U324" s="2">
        <v>29</v>
      </c>
      <c r="V324" s="2">
        <v>61.2667</v>
      </c>
      <c r="W324" s="2">
        <f t="shared" si="43"/>
        <v>30.315021029186173</v>
      </c>
      <c r="X324" s="2">
        <v>6</v>
      </c>
      <c r="Y324" s="2">
        <f t="shared" si="44"/>
        <v>20.85665361461421</v>
      </c>
      <c r="Z324" s="2">
        <v>41</v>
      </c>
      <c r="AA324" s="2">
        <f t="shared" si="45"/>
        <v>24.79919353527449</v>
      </c>
      <c r="AB324" s="2">
        <f t="shared" si="46"/>
        <v>26.343889234507497</v>
      </c>
      <c r="AC324" s="2">
        <v>65.345200000000006</v>
      </c>
      <c r="AD324" s="2">
        <v>8</v>
      </c>
      <c r="AE324" s="2">
        <v>3</v>
      </c>
      <c r="AF324" s="2">
        <v>1</v>
      </c>
      <c r="AG324" s="2">
        <v>10</v>
      </c>
      <c r="AH324" s="2">
        <v>2</v>
      </c>
      <c r="AI324" t="s">
        <v>40</v>
      </c>
    </row>
    <row r="325" spans="1:35" x14ac:dyDescent="0.3">
      <c r="A325" s="2" t="s">
        <v>35</v>
      </c>
      <c r="B325" s="2" t="s">
        <v>1032</v>
      </c>
      <c r="C325" s="2" t="s">
        <v>1033</v>
      </c>
      <c r="D325" s="2" t="s">
        <v>74</v>
      </c>
      <c r="E325" s="2" t="s">
        <v>1034</v>
      </c>
      <c r="F325" s="2">
        <v>2011</v>
      </c>
      <c r="G325" s="2">
        <v>29</v>
      </c>
      <c r="H325" s="2">
        <v>7</v>
      </c>
      <c r="I325" s="2">
        <v>0</v>
      </c>
      <c r="J325" s="2">
        <v>12</v>
      </c>
      <c r="K325" s="2">
        <v>12</v>
      </c>
      <c r="L325" s="2">
        <f t="shared" ca="1" si="40"/>
        <v>15</v>
      </c>
      <c r="M325" s="2">
        <v>11</v>
      </c>
      <c r="N325" s="2">
        <v>13</v>
      </c>
      <c r="O325" s="2">
        <v>717</v>
      </c>
      <c r="P325" s="2">
        <f t="shared" ca="1" si="41"/>
        <v>0.73333333333333328</v>
      </c>
      <c r="Q325" s="2">
        <f t="shared" ca="1" si="42"/>
        <v>58.735632183908045</v>
      </c>
      <c r="R325" s="2">
        <v>8.7645</v>
      </c>
      <c r="S325" s="2">
        <f t="shared" si="47"/>
        <v>64.971396551724141</v>
      </c>
      <c r="T325" s="2">
        <v>11</v>
      </c>
      <c r="U325" s="2">
        <v>26</v>
      </c>
      <c r="V325" s="2">
        <v>60.7273</v>
      </c>
      <c r="W325" s="2">
        <f t="shared" si="43"/>
        <v>25.845701770313763</v>
      </c>
      <c r="X325" s="2">
        <v>6</v>
      </c>
      <c r="Y325" s="2">
        <f t="shared" si="44"/>
        <v>16.911534525287763</v>
      </c>
      <c r="Z325" s="2">
        <v>41</v>
      </c>
      <c r="AA325" s="2">
        <f t="shared" si="45"/>
        <v>21.236760581595302</v>
      </c>
      <c r="AB325" s="2">
        <f t="shared" si="46"/>
        <v>23.388037540588993</v>
      </c>
      <c r="AC325" s="2">
        <v>48.703200000000002</v>
      </c>
      <c r="AD325" s="2">
        <v>9</v>
      </c>
      <c r="AE325" s="2">
        <v>0</v>
      </c>
      <c r="AF325" s="2">
        <v>2</v>
      </c>
      <c r="AG325" s="2">
        <v>5</v>
      </c>
      <c r="AH325" s="2">
        <v>7</v>
      </c>
      <c r="AI325" t="s">
        <v>45</v>
      </c>
    </row>
    <row r="326" spans="1:35" x14ac:dyDescent="0.3">
      <c r="A326" s="2" t="s">
        <v>35</v>
      </c>
      <c r="B326" s="2" t="s">
        <v>1035</v>
      </c>
      <c r="C326" s="2" t="s">
        <v>1036</v>
      </c>
      <c r="D326" s="2" t="s">
        <v>51</v>
      </c>
      <c r="E326" s="2" t="s">
        <v>1037</v>
      </c>
      <c r="F326" s="2">
        <v>1999</v>
      </c>
      <c r="G326" s="2">
        <v>92</v>
      </c>
      <c r="H326" s="2">
        <v>67</v>
      </c>
      <c r="I326" s="2">
        <v>13</v>
      </c>
      <c r="J326" s="2">
        <v>8</v>
      </c>
      <c r="K326" s="2">
        <v>14</v>
      </c>
      <c r="L326" s="2">
        <f t="shared" ca="1" si="40"/>
        <v>27</v>
      </c>
      <c r="M326" s="2">
        <v>20</v>
      </c>
      <c r="N326" s="2">
        <v>26</v>
      </c>
      <c r="O326" s="2">
        <v>7822</v>
      </c>
      <c r="P326" s="2">
        <f t="shared" ca="1" si="41"/>
        <v>0.7407407407407407</v>
      </c>
      <c r="Q326" s="2">
        <f t="shared" ca="1" si="42"/>
        <v>22.87037037037037</v>
      </c>
      <c r="R326" s="2">
        <v>27.447500000000002</v>
      </c>
      <c r="S326" s="2">
        <f t="shared" si="47"/>
        <v>49.512717391304349</v>
      </c>
      <c r="T326" s="2">
        <v>20</v>
      </c>
      <c r="U326" s="2">
        <v>88</v>
      </c>
      <c r="V326" s="2">
        <v>383.6</v>
      </c>
      <c r="W326" s="2">
        <f t="shared" si="43"/>
        <v>87.58995376183276</v>
      </c>
      <c r="X326" s="2">
        <v>9</v>
      </c>
      <c r="Y326" s="2">
        <f t="shared" si="44"/>
        <v>41.952353926806062</v>
      </c>
      <c r="Z326" s="2">
        <v>62.5</v>
      </c>
      <c r="AA326" s="2">
        <f t="shared" si="45"/>
        <v>35.355339059327378</v>
      </c>
      <c r="AB326" s="2">
        <f t="shared" si="46"/>
        <v>85.276022421311367</v>
      </c>
      <c r="AC326" s="2">
        <v>155.65989999999999</v>
      </c>
      <c r="AD326" s="2">
        <v>11</v>
      </c>
      <c r="AE326" s="2">
        <v>1</v>
      </c>
      <c r="AF326" s="2">
        <v>5</v>
      </c>
      <c r="AG326" s="2">
        <v>17</v>
      </c>
      <c r="AH326" s="2">
        <v>1</v>
      </c>
      <c r="AI326" t="s">
        <v>40</v>
      </c>
    </row>
    <row r="327" spans="1:35" x14ac:dyDescent="0.3">
      <c r="A327" s="2" t="s">
        <v>35</v>
      </c>
      <c r="B327" s="2" t="s">
        <v>1038</v>
      </c>
      <c r="C327" s="2" t="s">
        <v>1039</v>
      </c>
      <c r="D327" s="2" t="s">
        <v>74</v>
      </c>
      <c r="E327" s="2" t="s">
        <v>1040</v>
      </c>
      <c r="F327" s="2">
        <v>1991</v>
      </c>
      <c r="G327" s="2">
        <v>309</v>
      </c>
      <c r="H327" s="2">
        <v>137</v>
      </c>
      <c r="I327" s="2">
        <v>83</v>
      </c>
      <c r="J327" s="2">
        <v>84</v>
      </c>
      <c r="K327" s="2">
        <v>117</v>
      </c>
      <c r="L327" s="2">
        <f t="shared" ca="1" si="40"/>
        <v>35</v>
      </c>
      <c r="M327" s="2">
        <v>52</v>
      </c>
      <c r="N327" s="2">
        <v>160</v>
      </c>
      <c r="O327" s="2">
        <v>14935</v>
      </c>
      <c r="P327" s="2">
        <f t="shared" ca="1" si="41"/>
        <v>1.4857142857142858</v>
      </c>
      <c r="Q327" s="2">
        <f t="shared" ca="1" si="42"/>
        <v>31.807674526121126</v>
      </c>
      <c r="R327" s="2">
        <v>38.991500000000002</v>
      </c>
      <c r="S327" s="2">
        <f t="shared" si="47"/>
        <v>70.318360841423953</v>
      </c>
      <c r="T327" s="2">
        <v>51</v>
      </c>
      <c r="U327" s="2">
        <v>118</v>
      </c>
      <c r="V327" s="2">
        <v>230.90199999999999</v>
      </c>
      <c r="W327" s="2">
        <f t="shared" si="43"/>
        <v>108.51728894512615</v>
      </c>
      <c r="X327" s="2">
        <v>13</v>
      </c>
      <c r="Y327" s="2">
        <f t="shared" si="44"/>
        <v>77.575769412877889</v>
      </c>
      <c r="Z327" s="2">
        <v>110</v>
      </c>
      <c r="AA327" s="2">
        <f t="shared" si="45"/>
        <v>74.899933244296022</v>
      </c>
      <c r="AB327" s="2">
        <f t="shared" si="46"/>
        <v>95.786230743254521</v>
      </c>
      <c r="AC327" s="2">
        <v>375.59289999999999</v>
      </c>
      <c r="AD327" s="2">
        <v>37</v>
      </c>
      <c r="AE327" s="2">
        <v>7</v>
      </c>
      <c r="AF327" s="2">
        <v>21</v>
      </c>
      <c r="AG327" s="2">
        <v>38</v>
      </c>
      <c r="AH327" s="2">
        <v>28</v>
      </c>
      <c r="AI327" t="s">
        <v>45</v>
      </c>
    </row>
    <row r="328" spans="1:35" x14ac:dyDescent="0.3">
      <c r="A328" s="2" t="s">
        <v>35</v>
      </c>
      <c r="B328" s="2" t="s">
        <v>1041</v>
      </c>
      <c r="C328" s="2" t="s">
        <v>1042</v>
      </c>
      <c r="D328" s="2" t="s">
        <v>38</v>
      </c>
      <c r="E328" s="2" t="s">
        <v>1043</v>
      </c>
      <c r="F328" s="2">
        <v>1970</v>
      </c>
      <c r="G328" s="2">
        <v>305</v>
      </c>
      <c r="H328" s="2">
        <v>84</v>
      </c>
      <c r="I328" s="2">
        <v>87</v>
      </c>
      <c r="J328" s="2">
        <v>31</v>
      </c>
      <c r="K328" s="2">
        <v>93</v>
      </c>
      <c r="L328" s="2">
        <f t="shared" ca="1" si="40"/>
        <v>56</v>
      </c>
      <c r="M328" s="2">
        <v>30</v>
      </c>
      <c r="N328" s="2">
        <v>79</v>
      </c>
      <c r="O328" s="2">
        <v>3146</v>
      </c>
      <c r="P328" s="2">
        <f t="shared" ca="1" si="41"/>
        <v>0.5357142857142857</v>
      </c>
      <c r="Q328" s="2">
        <f t="shared" ca="1" si="42"/>
        <v>22.503512880562059</v>
      </c>
      <c r="R328" s="2">
        <v>10.863200000000001</v>
      </c>
      <c r="S328" s="2">
        <f t="shared" si="47"/>
        <v>33.191068852459011</v>
      </c>
      <c r="T328" s="2">
        <v>30</v>
      </c>
      <c r="U328" s="2">
        <v>47</v>
      </c>
      <c r="V328" s="2">
        <v>62.566699999999997</v>
      </c>
      <c r="W328" s="2">
        <f t="shared" si="43"/>
        <v>43.324369585719303</v>
      </c>
      <c r="X328" s="2">
        <v>8</v>
      </c>
      <c r="Y328" s="2">
        <f t="shared" si="44"/>
        <v>37.549966711037172</v>
      </c>
      <c r="Z328" s="2">
        <v>54.5</v>
      </c>
      <c r="AA328" s="2">
        <f t="shared" si="45"/>
        <v>40.435133238311458</v>
      </c>
      <c r="AB328" s="2">
        <f t="shared" si="46"/>
        <v>31.257015212588676</v>
      </c>
      <c r="AC328" s="2">
        <v>146.178</v>
      </c>
      <c r="AD328" s="2">
        <v>19</v>
      </c>
      <c r="AE328" s="2">
        <v>11</v>
      </c>
      <c r="AF328" s="2">
        <v>16</v>
      </c>
      <c r="AG328" s="2">
        <v>21</v>
      </c>
      <c r="AH328" s="2">
        <v>6</v>
      </c>
      <c r="AI328" t="s">
        <v>40</v>
      </c>
    </row>
    <row r="329" spans="1:35" x14ac:dyDescent="0.3">
      <c r="A329" s="2" t="s">
        <v>35</v>
      </c>
      <c r="B329" s="2" t="s">
        <v>1044</v>
      </c>
      <c r="C329" s="2" t="s">
        <v>1045</v>
      </c>
      <c r="D329" s="2" t="s">
        <v>81</v>
      </c>
      <c r="E329" s="2" t="s">
        <v>1046</v>
      </c>
      <c r="F329" s="2">
        <v>1995</v>
      </c>
      <c r="G329" s="2">
        <v>165</v>
      </c>
      <c r="H329" s="2">
        <v>98</v>
      </c>
      <c r="I329" s="2">
        <v>26</v>
      </c>
      <c r="J329" s="2">
        <v>25</v>
      </c>
      <c r="K329" s="2">
        <v>48</v>
      </c>
      <c r="L329" s="2">
        <f t="shared" ca="1" si="40"/>
        <v>31</v>
      </c>
      <c r="M329" s="2">
        <v>32</v>
      </c>
      <c r="N329" s="2">
        <v>47</v>
      </c>
      <c r="O329" s="2">
        <v>6713</v>
      </c>
      <c r="P329" s="2">
        <f t="shared" ca="1" si="41"/>
        <v>1.032258064516129</v>
      </c>
      <c r="Q329" s="2">
        <f t="shared" ca="1" si="42"/>
        <v>28.625610948191596</v>
      </c>
      <c r="R329" s="2">
        <v>21.782399999999999</v>
      </c>
      <c r="S329" s="2">
        <f t="shared" si="47"/>
        <v>49.782400000000003</v>
      </c>
      <c r="T329" s="2">
        <v>32</v>
      </c>
      <c r="U329" s="2">
        <v>81</v>
      </c>
      <c r="V329" s="2">
        <v>196.25</v>
      </c>
      <c r="W329" s="2">
        <f t="shared" si="43"/>
        <v>79.246451024635803</v>
      </c>
      <c r="X329" s="2">
        <v>12</v>
      </c>
      <c r="Y329" s="2">
        <f t="shared" si="44"/>
        <v>50.911688245431421</v>
      </c>
      <c r="Z329" s="2">
        <v>108</v>
      </c>
      <c r="AA329" s="2">
        <f t="shared" si="45"/>
        <v>58.787753826796276</v>
      </c>
      <c r="AB329" s="2">
        <f t="shared" si="46"/>
        <v>72.498275841567434</v>
      </c>
      <c r="AC329" s="2">
        <v>221.19220000000001</v>
      </c>
      <c r="AD329" s="2">
        <v>18</v>
      </c>
      <c r="AE329" s="2">
        <v>7</v>
      </c>
      <c r="AF329" s="2">
        <v>7</v>
      </c>
      <c r="AG329" s="2">
        <v>25</v>
      </c>
      <c r="AH329" s="2">
        <v>7</v>
      </c>
      <c r="AI329" t="s">
        <v>40</v>
      </c>
    </row>
    <row r="330" spans="1:35" x14ac:dyDescent="0.3">
      <c r="A330" s="2" t="s">
        <v>35</v>
      </c>
      <c r="B330" s="2" t="s">
        <v>1047</v>
      </c>
      <c r="C330" s="2" t="s">
        <v>1048</v>
      </c>
      <c r="D330" s="2" t="s">
        <v>43</v>
      </c>
      <c r="E330" s="2" t="s">
        <v>1049</v>
      </c>
      <c r="F330" s="2">
        <v>2003</v>
      </c>
      <c r="G330" s="2">
        <v>9</v>
      </c>
      <c r="H330" s="2">
        <v>1</v>
      </c>
      <c r="I330" s="2">
        <v>7</v>
      </c>
      <c r="J330" s="2">
        <v>7</v>
      </c>
      <c r="K330" s="2">
        <v>7</v>
      </c>
      <c r="L330" s="2">
        <f t="shared" ca="1" si="40"/>
        <v>23</v>
      </c>
      <c r="M330" s="2">
        <v>3</v>
      </c>
      <c r="N330" s="2">
        <v>0</v>
      </c>
      <c r="O330" s="2">
        <v>16</v>
      </c>
      <c r="P330" s="2">
        <f t="shared" ca="1" si="41"/>
        <v>0.13043478260869565</v>
      </c>
      <c r="Q330" s="2">
        <f t="shared" ca="1" si="42"/>
        <v>72.560386473429944</v>
      </c>
      <c r="R330" s="2">
        <v>1</v>
      </c>
      <c r="S330" s="2">
        <f t="shared" si="47"/>
        <v>72.111111111111114</v>
      </c>
      <c r="T330" s="2">
        <v>3</v>
      </c>
      <c r="U330" s="2">
        <v>4</v>
      </c>
      <c r="V330" s="2">
        <v>5</v>
      </c>
      <c r="W330" s="2">
        <f t="shared" si="43"/>
        <v>3.872983346207417</v>
      </c>
      <c r="X330" s="2">
        <v>2</v>
      </c>
      <c r="Y330" s="2">
        <f t="shared" si="44"/>
        <v>3.4641016151377544</v>
      </c>
      <c r="Z330" s="2">
        <v>4</v>
      </c>
      <c r="AA330" s="2">
        <f t="shared" si="45"/>
        <v>3.4641016151377544</v>
      </c>
      <c r="AB330" s="2">
        <f t="shared" si="46"/>
        <v>2.4494897427831779</v>
      </c>
      <c r="AC330" s="2">
        <v>5</v>
      </c>
      <c r="AD330" s="2">
        <v>3</v>
      </c>
      <c r="AE330" s="2">
        <v>0</v>
      </c>
      <c r="AF330" s="2">
        <v>1</v>
      </c>
      <c r="AG330" s="2">
        <v>0</v>
      </c>
      <c r="AH330" s="2">
        <v>3</v>
      </c>
      <c r="AI330" t="s">
        <v>45</v>
      </c>
    </row>
    <row r="331" spans="1:35" x14ac:dyDescent="0.3">
      <c r="A331" s="2" t="s">
        <v>35</v>
      </c>
      <c r="B331" s="2" t="s">
        <v>1050</v>
      </c>
      <c r="C331" s="2" t="s">
        <v>1051</v>
      </c>
      <c r="D331" s="2" t="s">
        <v>38</v>
      </c>
      <c r="E331" s="2" t="s">
        <v>1052</v>
      </c>
      <c r="F331" s="2">
        <v>2015</v>
      </c>
      <c r="G331" s="2">
        <v>19</v>
      </c>
      <c r="H331" s="2">
        <v>6</v>
      </c>
      <c r="I331" s="2">
        <v>9</v>
      </c>
      <c r="J331" s="2">
        <v>3</v>
      </c>
      <c r="K331" s="2">
        <v>9</v>
      </c>
      <c r="L331" s="2">
        <f t="shared" ca="1" si="40"/>
        <v>11</v>
      </c>
      <c r="M331" s="2">
        <v>6</v>
      </c>
      <c r="N331" s="2">
        <v>4</v>
      </c>
      <c r="O331" s="2">
        <v>153</v>
      </c>
      <c r="P331" s="2">
        <f t="shared" ca="1" si="41"/>
        <v>0.54545454545454541</v>
      </c>
      <c r="Q331" s="2">
        <f t="shared" ca="1" si="42"/>
        <v>54.97607655502393</v>
      </c>
      <c r="R331" s="2">
        <v>4.3337000000000003</v>
      </c>
      <c r="S331" s="2">
        <f t="shared" si="47"/>
        <v>56.43896315789474</v>
      </c>
      <c r="T331" s="2">
        <v>6</v>
      </c>
      <c r="U331" s="2">
        <v>12</v>
      </c>
      <c r="V331" s="2">
        <v>23.833300000000001</v>
      </c>
      <c r="W331" s="2">
        <f t="shared" si="43"/>
        <v>11.958252380678374</v>
      </c>
      <c r="X331" s="2">
        <v>3</v>
      </c>
      <c r="Y331" s="2">
        <f t="shared" si="44"/>
        <v>8.4852813742385695</v>
      </c>
      <c r="Z331" s="2">
        <v>13.5</v>
      </c>
      <c r="AA331" s="2">
        <f t="shared" si="45"/>
        <v>9</v>
      </c>
      <c r="AB331" s="2">
        <f t="shared" si="46"/>
        <v>10.344070765419191</v>
      </c>
      <c r="AC331" s="2">
        <v>17.175599999999999</v>
      </c>
      <c r="AD331" s="2">
        <v>4</v>
      </c>
      <c r="AE331" s="2">
        <v>3</v>
      </c>
      <c r="AF331" s="2">
        <v>2</v>
      </c>
      <c r="AG331" s="2">
        <v>3</v>
      </c>
      <c r="AH331" s="2">
        <v>1</v>
      </c>
      <c r="AI331" t="s">
        <v>40</v>
      </c>
    </row>
    <row r="332" spans="1:35" x14ac:dyDescent="0.3">
      <c r="A332" s="2" t="s">
        <v>35</v>
      </c>
      <c r="B332" s="2" t="s">
        <v>1053</v>
      </c>
      <c r="C332" s="2" t="s">
        <v>1054</v>
      </c>
      <c r="D332" s="2" t="s">
        <v>74</v>
      </c>
      <c r="E332" s="2" t="s">
        <v>1055</v>
      </c>
      <c r="F332" s="2">
        <v>2015</v>
      </c>
      <c r="G332" s="2">
        <v>8</v>
      </c>
      <c r="H332" s="2">
        <v>5</v>
      </c>
      <c r="I332" s="2">
        <v>0</v>
      </c>
      <c r="J332" s="2">
        <v>0</v>
      </c>
      <c r="K332" s="2">
        <v>0</v>
      </c>
      <c r="L332" s="2">
        <f t="shared" ca="1" si="40"/>
        <v>11</v>
      </c>
      <c r="M332" s="2">
        <v>5</v>
      </c>
      <c r="N332" s="2">
        <v>5</v>
      </c>
      <c r="O332" s="2">
        <v>157</v>
      </c>
      <c r="P332" s="2">
        <f t="shared" ca="1" si="41"/>
        <v>0.45454545454545453</v>
      </c>
      <c r="Q332" s="2">
        <f t="shared" ca="1" si="42"/>
        <v>61.93181818181818</v>
      </c>
      <c r="R332" s="2">
        <v>4.6298000000000004</v>
      </c>
      <c r="S332" s="2">
        <f t="shared" si="47"/>
        <v>60.879800000000003</v>
      </c>
      <c r="T332" s="2">
        <v>5</v>
      </c>
      <c r="U332" s="2">
        <v>8</v>
      </c>
      <c r="V332" s="2">
        <v>31.2</v>
      </c>
      <c r="W332" s="2">
        <f t="shared" si="43"/>
        <v>12.489995996796797</v>
      </c>
      <c r="X332" s="2">
        <v>4</v>
      </c>
      <c r="Y332" s="2">
        <f t="shared" si="44"/>
        <v>6.324555320336759</v>
      </c>
      <c r="Z332" s="2">
        <v>18</v>
      </c>
      <c r="AA332" s="2">
        <f t="shared" si="45"/>
        <v>9.4868329805051381</v>
      </c>
      <c r="AB332" s="2">
        <f t="shared" si="46"/>
        <v>11.445523142259598</v>
      </c>
      <c r="AC332" s="2">
        <v>18</v>
      </c>
      <c r="AD332" s="2">
        <v>4</v>
      </c>
      <c r="AE332" s="2">
        <v>0</v>
      </c>
      <c r="AF332" s="2">
        <v>0</v>
      </c>
      <c r="AG332" s="2">
        <v>5</v>
      </c>
      <c r="AH332" s="2">
        <v>0</v>
      </c>
      <c r="AI332" t="s">
        <v>45</v>
      </c>
    </row>
    <row r="333" spans="1:35" x14ac:dyDescent="0.3">
      <c r="A333" s="2" t="s">
        <v>35</v>
      </c>
      <c r="B333" s="2" t="s">
        <v>1056</v>
      </c>
      <c r="C333" s="2" t="s">
        <v>1057</v>
      </c>
      <c r="D333" s="2" t="s">
        <v>109</v>
      </c>
      <c r="E333" s="2" t="s">
        <v>1058</v>
      </c>
      <c r="F333" s="2">
        <v>1997</v>
      </c>
      <c r="G333" s="2">
        <v>116</v>
      </c>
      <c r="H333" s="2">
        <v>9</v>
      </c>
      <c r="I333" s="2">
        <v>24</v>
      </c>
      <c r="J333" s="2">
        <v>12</v>
      </c>
      <c r="K333" s="2">
        <v>34</v>
      </c>
      <c r="L333" s="2">
        <f t="shared" ca="1" si="40"/>
        <v>29</v>
      </c>
      <c r="M333" s="2">
        <v>18</v>
      </c>
      <c r="N333" s="2">
        <v>40</v>
      </c>
      <c r="O333" s="2">
        <v>1244</v>
      </c>
      <c r="P333" s="2">
        <f t="shared" ca="1" si="41"/>
        <v>0.62068965517241381</v>
      </c>
      <c r="Q333" s="2">
        <f t="shared" ca="1" si="42"/>
        <v>29.931629013079665</v>
      </c>
      <c r="R333" s="2">
        <v>9.8070000000000004</v>
      </c>
      <c r="S333" s="2">
        <f t="shared" si="47"/>
        <v>39.203551724137931</v>
      </c>
      <c r="T333" s="2">
        <v>18</v>
      </c>
      <c r="U333" s="2">
        <v>30</v>
      </c>
      <c r="V333" s="2">
        <v>42.1111</v>
      </c>
      <c r="W333" s="2">
        <f t="shared" si="43"/>
        <v>27.531796163708609</v>
      </c>
      <c r="X333" s="2">
        <v>6</v>
      </c>
      <c r="Y333" s="2">
        <f t="shared" si="44"/>
        <v>23.2379000772445</v>
      </c>
      <c r="Z333" s="2">
        <v>28</v>
      </c>
      <c r="AA333" s="2">
        <f t="shared" si="45"/>
        <v>22.449944320643649</v>
      </c>
      <c r="AB333" s="2">
        <f t="shared" si="46"/>
        <v>20.832661855845501</v>
      </c>
      <c r="AC333" s="2">
        <v>70.114199999999997</v>
      </c>
      <c r="AD333" s="2">
        <v>13</v>
      </c>
      <c r="AE333" s="2">
        <v>8</v>
      </c>
      <c r="AF333" s="2">
        <v>12</v>
      </c>
      <c r="AG333" s="2">
        <v>10</v>
      </c>
      <c r="AH333" s="2">
        <v>8</v>
      </c>
      <c r="AI333" t="s">
        <v>93</v>
      </c>
    </row>
  </sheetData>
  <autoFilter ref="A1:AH37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3" width="16" customWidth="1"/>
  </cols>
  <sheetData>
    <row r="1" spans="1:33" ht="69.599999999999994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 x14ac:dyDescent="0.3">
      <c r="A2" s="2" t="s">
        <v>35</v>
      </c>
      <c r="B2" s="2" t="s">
        <v>37</v>
      </c>
      <c r="C2" s="2" t="s">
        <v>38</v>
      </c>
      <c r="D2" s="2" t="s">
        <v>39</v>
      </c>
      <c r="E2" s="2">
        <v>2017</v>
      </c>
      <c r="F2" s="2">
        <v>12</v>
      </c>
      <c r="G2" s="2">
        <v>1</v>
      </c>
      <c r="H2" s="2">
        <v>1</v>
      </c>
      <c r="I2" s="2">
        <v>3</v>
      </c>
      <c r="J2" s="2">
        <v>3</v>
      </c>
      <c r="K2" s="2">
        <f t="shared" ref="K2:K65" ca="1" si="0">IF((YEAR(TODAY())-E2)&lt;=0,1,YEAR(TODAY())-E2)</f>
        <v>9</v>
      </c>
      <c r="L2" s="2">
        <v>6</v>
      </c>
      <c r="M2" s="2">
        <v>5</v>
      </c>
      <c r="N2" s="2">
        <v>93</v>
      </c>
      <c r="O2" s="2">
        <f t="shared" ref="O2:O65" ca="1" si="1">IFERROR(L2/K2,0)</f>
        <v>0.66666666666666663</v>
      </c>
      <c r="P2" s="2">
        <f t="shared" ref="P2:P65" ca="1" si="2">IFERROR((100/F2)*(L2-0.1*G2+0.5*J2+O2),0)</f>
        <v>67.222222222222229</v>
      </c>
      <c r="Q2" s="2">
        <v>4.9192999999999998</v>
      </c>
      <c r="R2" s="2">
        <f t="shared" ref="R2:R65" si="3">IFERROR((100/F2)*(L2-0.1*G2+0.5*J2+Q2),0)</f>
        <v>102.66083333333334</v>
      </c>
      <c r="S2" s="2">
        <v>6</v>
      </c>
      <c r="T2" s="2">
        <v>9</v>
      </c>
      <c r="U2" s="2">
        <v>14.166700000000001</v>
      </c>
      <c r="V2" s="2">
        <f t="shared" ref="V2:V65" si="4">IFERROR(SQRT(U2*S2),0)</f>
        <v>9.2195553038093987</v>
      </c>
      <c r="W2" s="2">
        <v>3</v>
      </c>
      <c r="X2" s="2">
        <f t="shared" ref="X2:X65" si="5">IFERROR(SQRT(S2*T2),0)</f>
        <v>7.3484692283495345</v>
      </c>
      <c r="Y2" s="2">
        <v>12.5</v>
      </c>
      <c r="Z2" s="2">
        <f t="shared" ref="Z2:Z65" si="6">IFERROR(SQRT(S2*Y2),0)</f>
        <v>8.6602540378443873</v>
      </c>
      <c r="AA2" s="2">
        <f t="shared" ref="AA2:AA65" si="7">IFERROR(SQRT(MAX(U2*S2-S2^2,0)),0)</f>
        <v>7.0000142856997085</v>
      </c>
      <c r="AB2" s="2">
        <v>15.5885</v>
      </c>
      <c r="AC2" s="2">
        <v>3</v>
      </c>
      <c r="AD2" s="2">
        <v>0</v>
      </c>
      <c r="AE2" s="2">
        <v>2</v>
      </c>
      <c r="AF2" s="2">
        <v>4</v>
      </c>
      <c r="AG2" s="2">
        <v>1</v>
      </c>
    </row>
    <row r="3" spans="1:33" x14ac:dyDescent="0.3">
      <c r="A3" s="2" t="s">
        <v>35</v>
      </c>
      <c r="B3" s="2" t="s">
        <v>1059</v>
      </c>
      <c r="C3" s="2" t="s">
        <v>91</v>
      </c>
      <c r="D3" s="2" t="s">
        <v>1060</v>
      </c>
      <c r="E3" s="2">
        <v>2005</v>
      </c>
      <c r="F3" s="2">
        <v>2</v>
      </c>
      <c r="G3" s="2">
        <v>1</v>
      </c>
      <c r="H3" s="2">
        <v>0</v>
      </c>
      <c r="I3" s="2">
        <v>0</v>
      </c>
      <c r="J3" s="2">
        <v>0</v>
      </c>
      <c r="K3" s="2">
        <f t="shared" ca="1" si="0"/>
        <v>21</v>
      </c>
      <c r="L3" s="2">
        <v>0</v>
      </c>
      <c r="M3" s="2">
        <v>0</v>
      </c>
      <c r="N3" s="2">
        <v>0</v>
      </c>
      <c r="O3" s="2">
        <f t="shared" ca="1" si="1"/>
        <v>0</v>
      </c>
      <c r="P3" s="2">
        <f t="shared" ca="1" si="2"/>
        <v>-5</v>
      </c>
      <c r="Q3" s="2">
        <v>0</v>
      </c>
      <c r="R3" s="2">
        <f t="shared" si="3"/>
        <v>-5</v>
      </c>
      <c r="S3" s="2">
        <v>0</v>
      </c>
      <c r="T3" s="2">
        <v>0</v>
      </c>
      <c r="U3" s="2">
        <v>0</v>
      </c>
      <c r="V3" s="2">
        <f t="shared" si="4"/>
        <v>0</v>
      </c>
      <c r="W3" s="2">
        <v>0</v>
      </c>
      <c r="X3" s="2">
        <f t="shared" si="5"/>
        <v>0</v>
      </c>
      <c r="Y3" s="2">
        <v>0</v>
      </c>
      <c r="Z3" s="2">
        <f t="shared" si="6"/>
        <v>0</v>
      </c>
      <c r="AA3" s="2">
        <f t="shared" si="7"/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x14ac:dyDescent="0.3">
      <c r="A4" s="2" t="s">
        <v>35</v>
      </c>
      <c r="B4" s="2" t="s">
        <v>42</v>
      </c>
      <c r="C4" s="2" t="s">
        <v>43</v>
      </c>
      <c r="D4" s="2" t="s">
        <v>44</v>
      </c>
      <c r="E4" s="2">
        <v>2006</v>
      </c>
      <c r="F4" s="2">
        <v>39</v>
      </c>
      <c r="G4" s="2">
        <v>3</v>
      </c>
      <c r="H4" s="2">
        <v>29</v>
      </c>
      <c r="I4" s="2">
        <v>21</v>
      </c>
      <c r="J4" s="2">
        <v>29</v>
      </c>
      <c r="K4" s="2">
        <f t="shared" ca="1" si="0"/>
        <v>20</v>
      </c>
      <c r="L4" s="2">
        <v>9</v>
      </c>
      <c r="M4" s="2">
        <v>7</v>
      </c>
      <c r="N4" s="2">
        <v>304</v>
      </c>
      <c r="O4" s="2">
        <f t="shared" ca="1" si="1"/>
        <v>0.45</v>
      </c>
      <c r="P4" s="2">
        <f t="shared" ca="1" si="2"/>
        <v>60.641025641025642</v>
      </c>
      <c r="Q4" s="2">
        <v>5.4173999999999998</v>
      </c>
      <c r="R4" s="2">
        <f t="shared" si="3"/>
        <v>73.377948717948726</v>
      </c>
      <c r="S4" s="2">
        <v>9</v>
      </c>
      <c r="T4" s="2">
        <v>17</v>
      </c>
      <c r="U4" s="2">
        <v>30.8889</v>
      </c>
      <c r="V4" s="2">
        <f t="shared" si="4"/>
        <v>16.673334999333516</v>
      </c>
      <c r="W4" s="2">
        <v>4</v>
      </c>
      <c r="X4" s="2">
        <f t="shared" si="5"/>
        <v>12.369316876852981</v>
      </c>
      <c r="Y4" s="2">
        <v>12</v>
      </c>
      <c r="Z4" s="2">
        <f t="shared" si="6"/>
        <v>10.392304845413264</v>
      </c>
      <c r="AA4" s="2">
        <f t="shared" si="7"/>
        <v>14.035672409970246</v>
      </c>
      <c r="AB4" s="2">
        <v>28.142499999999998</v>
      </c>
      <c r="AC4" s="2">
        <v>7</v>
      </c>
      <c r="AD4" s="2">
        <v>3</v>
      </c>
      <c r="AE4" s="2">
        <v>0</v>
      </c>
      <c r="AF4" s="2">
        <v>4</v>
      </c>
      <c r="AG4" s="2">
        <v>4</v>
      </c>
    </row>
    <row r="5" spans="1:33" x14ac:dyDescent="0.3">
      <c r="A5" s="2" t="s">
        <v>35</v>
      </c>
      <c r="B5" s="2" t="s">
        <v>47</v>
      </c>
      <c r="C5" s="2" t="s">
        <v>43</v>
      </c>
      <c r="D5" s="2" t="s">
        <v>48</v>
      </c>
      <c r="E5" s="2">
        <v>2016</v>
      </c>
      <c r="F5" s="2">
        <v>1</v>
      </c>
      <c r="G5" s="2">
        <v>0</v>
      </c>
      <c r="H5" s="2">
        <v>1</v>
      </c>
      <c r="I5" s="2">
        <v>1</v>
      </c>
      <c r="J5" s="2">
        <v>1</v>
      </c>
      <c r="K5" s="2">
        <f t="shared" ca="1" si="0"/>
        <v>10</v>
      </c>
      <c r="L5" s="2">
        <v>1</v>
      </c>
      <c r="M5" s="2">
        <v>0</v>
      </c>
      <c r="N5" s="2">
        <v>1</v>
      </c>
      <c r="O5" s="2">
        <f t="shared" ca="1" si="1"/>
        <v>0.1</v>
      </c>
      <c r="P5" s="2">
        <f t="shared" ca="1" si="2"/>
        <v>160</v>
      </c>
      <c r="Q5" s="2">
        <v>0.30149999999999999</v>
      </c>
      <c r="R5" s="2">
        <f t="shared" si="3"/>
        <v>180.14999999999998</v>
      </c>
      <c r="S5" s="2">
        <v>1</v>
      </c>
      <c r="T5" s="2">
        <v>1</v>
      </c>
      <c r="U5" s="2">
        <v>1</v>
      </c>
      <c r="V5" s="2">
        <f t="shared" si="4"/>
        <v>1</v>
      </c>
      <c r="W5" s="2">
        <v>1</v>
      </c>
      <c r="X5" s="2">
        <f t="shared" si="5"/>
        <v>1</v>
      </c>
      <c r="Y5" s="2">
        <v>1</v>
      </c>
      <c r="Z5" s="2">
        <f t="shared" si="6"/>
        <v>1</v>
      </c>
      <c r="AA5" s="2">
        <f t="shared" si="7"/>
        <v>0</v>
      </c>
      <c r="AB5" s="2">
        <v>1</v>
      </c>
      <c r="AC5" s="2">
        <v>1</v>
      </c>
      <c r="AD5" s="2">
        <v>0</v>
      </c>
      <c r="AE5" s="2">
        <v>0</v>
      </c>
      <c r="AF5" s="2">
        <v>0</v>
      </c>
      <c r="AG5" s="2">
        <v>1</v>
      </c>
    </row>
    <row r="6" spans="1:33" x14ac:dyDescent="0.3">
      <c r="A6" s="2" t="s">
        <v>35</v>
      </c>
      <c r="B6" s="2" t="s">
        <v>1061</v>
      </c>
      <c r="C6" s="2" t="s">
        <v>240</v>
      </c>
      <c r="D6" s="2" t="s">
        <v>1062</v>
      </c>
      <c r="E6" s="2">
        <v>2025</v>
      </c>
      <c r="F6" s="2">
        <v>2</v>
      </c>
      <c r="G6" s="2">
        <v>0</v>
      </c>
      <c r="H6" s="2">
        <v>2</v>
      </c>
      <c r="I6" s="2">
        <v>2</v>
      </c>
      <c r="J6" s="2">
        <v>2</v>
      </c>
      <c r="K6" s="2">
        <f t="shared" ca="1" si="0"/>
        <v>1</v>
      </c>
      <c r="L6" s="2">
        <v>0</v>
      </c>
      <c r="M6" s="2">
        <v>0</v>
      </c>
      <c r="N6" s="2">
        <v>0</v>
      </c>
      <c r="O6" s="2">
        <f t="shared" ca="1" si="1"/>
        <v>0</v>
      </c>
      <c r="P6" s="2">
        <f t="shared" ca="1" si="2"/>
        <v>50</v>
      </c>
      <c r="Q6" s="2">
        <v>0</v>
      </c>
      <c r="R6" s="2">
        <f t="shared" si="3"/>
        <v>50</v>
      </c>
      <c r="S6" s="2">
        <v>0</v>
      </c>
      <c r="T6" s="2">
        <v>0</v>
      </c>
      <c r="U6" s="2">
        <v>0</v>
      </c>
      <c r="V6" s="2">
        <f t="shared" si="4"/>
        <v>0</v>
      </c>
      <c r="W6" s="2">
        <v>0</v>
      </c>
      <c r="X6" s="2">
        <f t="shared" si="5"/>
        <v>0</v>
      </c>
      <c r="Y6" s="2">
        <v>0</v>
      </c>
      <c r="Z6" s="2">
        <f t="shared" si="6"/>
        <v>0</v>
      </c>
      <c r="AA6" s="2">
        <f t="shared" si="7"/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x14ac:dyDescent="0.3">
      <c r="A7" s="2" t="s">
        <v>35</v>
      </c>
      <c r="B7" s="2" t="s">
        <v>50</v>
      </c>
      <c r="C7" s="2" t="s">
        <v>51</v>
      </c>
      <c r="D7" s="2" t="s">
        <v>52</v>
      </c>
      <c r="E7" s="2">
        <v>2012</v>
      </c>
      <c r="F7" s="2">
        <v>35</v>
      </c>
      <c r="G7" s="2">
        <v>22</v>
      </c>
      <c r="H7" s="2">
        <v>9</v>
      </c>
      <c r="I7" s="2">
        <v>10</v>
      </c>
      <c r="J7" s="2">
        <v>16</v>
      </c>
      <c r="K7" s="2">
        <f t="shared" ca="1" si="0"/>
        <v>14</v>
      </c>
      <c r="L7" s="2">
        <v>12</v>
      </c>
      <c r="M7" s="2">
        <v>13</v>
      </c>
      <c r="N7" s="2">
        <v>790</v>
      </c>
      <c r="O7" s="2">
        <f t="shared" ca="1" si="1"/>
        <v>0.8571428571428571</v>
      </c>
      <c r="P7" s="2">
        <f t="shared" ca="1" si="2"/>
        <v>53.306122448979593</v>
      </c>
      <c r="Q7" s="2">
        <v>8.5503</v>
      </c>
      <c r="R7" s="2">
        <f t="shared" si="3"/>
        <v>75.286571428571435</v>
      </c>
      <c r="S7" s="2">
        <v>12</v>
      </c>
      <c r="T7" s="2">
        <v>28</v>
      </c>
      <c r="U7" s="2">
        <v>63.5</v>
      </c>
      <c r="V7" s="2">
        <f t="shared" si="4"/>
        <v>27.604347483684521</v>
      </c>
      <c r="W7" s="2">
        <v>6</v>
      </c>
      <c r="X7" s="2">
        <f t="shared" si="5"/>
        <v>18.330302779823359</v>
      </c>
      <c r="Y7" s="2">
        <v>43</v>
      </c>
      <c r="Z7" s="2">
        <f t="shared" si="6"/>
        <v>22.715633383201094</v>
      </c>
      <c r="AA7" s="2">
        <f t="shared" si="7"/>
        <v>24.859605789312106</v>
      </c>
      <c r="AB7" s="2">
        <v>52.867800000000003</v>
      </c>
      <c r="AC7" s="2">
        <v>8</v>
      </c>
      <c r="AD7" s="2">
        <v>4</v>
      </c>
      <c r="AE7" s="2">
        <v>2</v>
      </c>
      <c r="AF7" s="2">
        <v>5</v>
      </c>
      <c r="AG7" s="2">
        <v>4</v>
      </c>
    </row>
    <row r="8" spans="1:33" x14ac:dyDescent="0.3">
      <c r="A8" s="2" t="s">
        <v>35</v>
      </c>
      <c r="B8" s="2" t="s">
        <v>54</v>
      </c>
      <c r="C8" s="2" t="s">
        <v>55</v>
      </c>
      <c r="D8" s="2" t="s">
        <v>56</v>
      </c>
      <c r="E8" s="2">
        <v>2008</v>
      </c>
      <c r="F8" s="2">
        <v>60</v>
      </c>
      <c r="G8" s="2">
        <v>3</v>
      </c>
      <c r="H8" s="2">
        <v>58</v>
      </c>
      <c r="I8" s="2">
        <v>51</v>
      </c>
      <c r="J8" s="2">
        <v>58</v>
      </c>
      <c r="K8" s="2">
        <f t="shared" ca="1" si="0"/>
        <v>18</v>
      </c>
      <c r="L8" s="2">
        <v>6</v>
      </c>
      <c r="M8" s="2">
        <v>5</v>
      </c>
      <c r="N8" s="2">
        <v>133</v>
      </c>
      <c r="O8" s="2">
        <f t="shared" ca="1" si="1"/>
        <v>0.33333333333333331</v>
      </c>
      <c r="P8" s="2">
        <f t="shared" ca="1" si="2"/>
        <v>58.3888888888889</v>
      </c>
      <c r="Q8" s="2">
        <v>2.7225000000000001</v>
      </c>
      <c r="R8" s="2">
        <f t="shared" si="3"/>
        <v>62.370833333333337</v>
      </c>
      <c r="S8" s="2">
        <v>6</v>
      </c>
      <c r="T8" s="2">
        <v>11</v>
      </c>
      <c r="U8" s="2">
        <v>17</v>
      </c>
      <c r="V8" s="2">
        <f t="shared" si="4"/>
        <v>10.099504938362077</v>
      </c>
      <c r="W8" s="2">
        <v>3</v>
      </c>
      <c r="X8" s="2">
        <f t="shared" si="5"/>
        <v>8.1240384046359608</v>
      </c>
      <c r="Y8" s="2">
        <v>15</v>
      </c>
      <c r="Z8" s="2">
        <f t="shared" si="6"/>
        <v>9.4868329805051381</v>
      </c>
      <c r="AA8" s="2">
        <f t="shared" si="7"/>
        <v>8.1240384046359608</v>
      </c>
      <c r="AB8" s="2">
        <v>16.792899999999999</v>
      </c>
      <c r="AC8" s="2">
        <v>6</v>
      </c>
      <c r="AD8" s="2">
        <v>3</v>
      </c>
      <c r="AE8" s="2">
        <v>0</v>
      </c>
      <c r="AF8" s="2">
        <v>1</v>
      </c>
      <c r="AG8" s="2">
        <v>5</v>
      </c>
    </row>
    <row r="9" spans="1:33" x14ac:dyDescent="0.3">
      <c r="A9" s="2" t="s">
        <v>35</v>
      </c>
      <c r="B9" s="2" t="s">
        <v>58</v>
      </c>
      <c r="C9" s="2" t="s">
        <v>38</v>
      </c>
      <c r="D9" s="2" t="s">
        <v>59</v>
      </c>
      <c r="E9" s="2">
        <v>1993</v>
      </c>
      <c r="F9" s="2">
        <v>161</v>
      </c>
      <c r="G9" s="2">
        <v>61</v>
      </c>
      <c r="H9" s="2">
        <v>36</v>
      </c>
      <c r="I9" s="2">
        <v>43</v>
      </c>
      <c r="J9" s="2">
        <v>64</v>
      </c>
      <c r="K9" s="2">
        <f t="shared" ca="1" si="0"/>
        <v>33</v>
      </c>
      <c r="L9" s="2">
        <v>24</v>
      </c>
      <c r="M9" s="2">
        <v>50</v>
      </c>
      <c r="N9" s="2">
        <v>2341</v>
      </c>
      <c r="O9" s="2">
        <f t="shared" ca="1" si="1"/>
        <v>0.72727272727272729</v>
      </c>
      <c r="P9" s="2">
        <f t="shared" ca="1" si="2"/>
        <v>31.445511010728399</v>
      </c>
      <c r="Q9" s="2">
        <v>16.590699999999998</v>
      </c>
      <c r="R9" s="2">
        <f t="shared" si="3"/>
        <v>41.298571428571428</v>
      </c>
      <c r="S9" s="2">
        <v>24</v>
      </c>
      <c r="T9" s="2">
        <v>45</v>
      </c>
      <c r="U9" s="2">
        <v>70.083299999999994</v>
      </c>
      <c r="V9" s="2">
        <f t="shared" si="4"/>
        <v>41.012183555621611</v>
      </c>
      <c r="W9" s="2">
        <v>8</v>
      </c>
      <c r="X9" s="2">
        <f t="shared" si="5"/>
        <v>32.863353450309965</v>
      </c>
      <c r="Y9" s="2">
        <v>48.5</v>
      </c>
      <c r="Z9" s="2">
        <f t="shared" si="6"/>
        <v>34.117444218463959</v>
      </c>
      <c r="AA9" s="2">
        <f t="shared" si="7"/>
        <v>33.256566268934016</v>
      </c>
      <c r="AB9" s="2">
        <v>115.7411</v>
      </c>
      <c r="AC9" s="2">
        <v>18</v>
      </c>
      <c r="AD9" s="2">
        <v>6</v>
      </c>
      <c r="AE9" s="2">
        <v>9</v>
      </c>
      <c r="AF9" s="2">
        <v>15</v>
      </c>
      <c r="AG9" s="2">
        <v>16</v>
      </c>
    </row>
    <row r="10" spans="1:33" x14ac:dyDescent="0.3">
      <c r="A10" s="2" t="s">
        <v>35</v>
      </c>
      <c r="B10" s="2" t="s">
        <v>61</v>
      </c>
      <c r="C10" s="2" t="s">
        <v>62</v>
      </c>
      <c r="D10" s="2" t="s">
        <v>63</v>
      </c>
      <c r="E10" s="2">
        <v>1977</v>
      </c>
      <c r="F10" s="2">
        <v>84</v>
      </c>
      <c r="G10" s="2">
        <v>11</v>
      </c>
      <c r="H10" s="2">
        <v>31</v>
      </c>
      <c r="I10" s="2">
        <v>27</v>
      </c>
      <c r="J10" s="2">
        <v>32</v>
      </c>
      <c r="K10" s="2">
        <f t="shared" ca="1" si="0"/>
        <v>49</v>
      </c>
      <c r="L10" s="2">
        <v>9</v>
      </c>
      <c r="M10" s="2">
        <v>9</v>
      </c>
      <c r="N10" s="2">
        <v>344</v>
      </c>
      <c r="O10" s="2">
        <f t="shared" ca="1" si="1"/>
        <v>0.18367346938775511</v>
      </c>
      <c r="P10" s="2">
        <f t="shared" ca="1" si="2"/>
        <v>28.671039844509231</v>
      </c>
      <c r="Q10" s="2">
        <v>4.4200999999999997</v>
      </c>
      <c r="R10" s="2">
        <f t="shared" si="3"/>
        <v>33.71440476190476</v>
      </c>
      <c r="S10" s="2">
        <v>9</v>
      </c>
      <c r="T10" s="2">
        <v>16</v>
      </c>
      <c r="U10" s="2">
        <v>24.555599999999998</v>
      </c>
      <c r="V10" s="2">
        <f t="shared" si="4"/>
        <v>14.866082200768297</v>
      </c>
      <c r="W10" s="2">
        <v>5</v>
      </c>
      <c r="X10" s="2">
        <f t="shared" si="5"/>
        <v>12</v>
      </c>
      <c r="Y10" s="2">
        <v>26</v>
      </c>
      <c r="Z10" s="2">
        <f t="shared" si="6"/>
        <v>15.297058540778355</v>
      </c>
      <c r="AA10" s="2">
        <f t="shared" si="7"/>
        <v>11.832176469272252</v>
      </c>
      <c r="AB10" s="2">
        <v>29.240400000000001</v>
      </c>
      <c r="AC10" s="2">
        <v>7</v>
      </c>
      <c r="AD10" s="2">
        <v>1</v>
      </c>
      <c r="AE10" s="2">
        <v>3</v>
      </c>
      <c r="AF10" s="2">
        <v>7</v>
      </c>
      <c r="AG10" s="2">
        <v>5</v>
      </c>
    </row>
    <row r="11" spans="1:33" x14ac:dyDescent="0.3">
      <c r="A11" s="2" t="s">
        <v>35</v>
      </c>
      <c r="B11" s="2" t="s">
        <v>66</v>
      </c>
      <c r="C11" s="2" t="s">
        <v>67</v>
      </c>
      <c r="D11" s="2" t="s">
        <v>68</v>
      </c>
      <c r="E11" s="2">
        <v>2010</v>
      </c>
      <c r="F11" s="2">
        <v>13</v>
      </c>
      <c r="G11" s="2">
        <v>5</v>
      </c>
      <c r="H11" s="2">
        <v>0</v>
      </c>
      <c r="I11" s="2">
        <v>1</v>
      </c>
      <c r="J11" s="2">
        <v>1</v>
      </c>
      <c r="K11" s="2">
        <f t="shared" ca="1" si="0"/>
        <v>16</v>
      </c>
      <c r="L11" s="2">
        <v>7</v>
      </c>
      <c r="M11" s="2">
        <v>6</v>
      </c>
      <c r="N11" s="2">
        <v>152</v>
      </c>
      <c r="O11" s="2">
        <f t="shared" ca="1" si="1"/>
        <v>0.4375</v>
      </c>
      <c r="P11" s="2">
        <f t="shared" ca="1" si="2"/>
        <v>57.21153846153846</v>
      </c>
      <c r="Q11" s="2">
        <v>5.2337999999999996</v>
      </c>
      <c r="R11" s="2">
        <f t="shared" si="3"/>
        <v>94.106153846153845</v>
      </c>
      <c r="S11" s="2">
        <v>7</v>
      </c>
      <c r="T11" s="2">
        <v>12</v>
      </c>
      <c r="U11" s="2">
        <v>19.857099999999999</v>
      </c>
      <c r="V11" s="2">
        <f t="shared" si="4"/>
        <v>11.789813399710786</v>
      </c>
      <c r="W11" s="2">
        <v>4</v>
      </c>
      <c r="X11" s="2">
        <f t="shared" si="5"/>
        <v>9.1651513899116797</v>
      </c>
      <c r="Y11" s="2">
        <v>18</v>
      </c>
      <c r="Z11" s="2">
        <f t="shared" si="6"/>
        <v>11.224972160321824</v>
      </c>
      <c r="AA11" s="2">
        <f t="shared" si="7"/>
        <v>9.4868171691036611</v>
      </c>
      <c r="AB11" s="2">
        <v>20.4695</v>
      </c>
      <c r="AC11" s="2">
        <v>3</v>
      </c>
      <c r="AD11" s="2">
        <v>0</v>
      </c>
      <c r="AE11" s="2">
        <v>2</v>
      </c>
      <c r="AF11" s="2">
        <v>6</v>
      </c>
      <c r="AG11" s="2">
        <v>1</v>
      </c>
    </row>
    <row r="12" spans="1:33" x14ac:dyDescent="0.3">
      <c r="A12" s="2" t="s">
        <v>35</v>
      </c>
      <c r="B12" s="2" t="s">
        <v>70</v>
      </c>
      <c r="C12" s="2" t="s">
        <v>38</v>
      </c>
      <c r="D12" s="2" t="s">
        <v>71</v>
      </c>
      <c r="E12" s="2">
        <v>2012</v>
      </c>
      <c r="F12" s="2">
        <v>12</v>
      </c>
      <c r="G12" s="2">
        <v>0</v>
      </c>
      <c r="H12" s="2">
        <v>3</v>
      </c>
      <c r="I12" s="2">
        <v>0</v>
      </c>
      <c r="J12" s="2">
        <v>3</v>
      </c>
      <c r="K12" s="2">
        <f t="shared" ca="1" si="0"/>
        <v>14</v>
      </c>
      <c r="L12" s="2">
        <v>2</v>
      </c>
      <c r="M12" s="2">
        <v>0</v>
      </c>
      <c r="N12" s="2">
        <v>11</v>
      </c>
      <c r="O12" s="2">
        <f t="shared" ca="1" si="1"/>
        <v>0.14285714285714285</v>
      </c>
      <c r="P12" s="2">
        <f t="shared" ca="1" si="2"/>
        <v>30.357142857142858</v>
      </c>
      <c r="Q12" s="2">
        <v>1.0724</v>
      </c>
      <c r="R12" s="2">
        <f t="shared" si="3"/>
        <v>38.103333333333339</v>
      </c>
      <c r="S12" s="2">
        <v>2</v>
      </c>
      <c r="T12" s="2">
        <v>3</v>
      </c>
      <c r="U12" s="2">
        <v>4</v>
      </c>
      <c r="V12" s="2">
        <f t="shared" si="4"/>
        <v>2.8284271247461903</v>
      </c>
      <c r="W12" s="2">
        <v>1</v>
      </c>
      <c r="X12" s="2">
        <f t="shared" si="5"/>
        <v>2.4494897427831779</v>
      </c>
      <c r="Y12" s="2">
        <v>4</v>
      </c>
      <c r="Z12" s="2">
        <f t="shared" si="6"/>
        <v>2.8284271247461903</v>
      </c>
      <c r="AA12" s="2">
        <f t="shared" si="7"/>
        <v>2</v>
      </c>
      <c r="AB12" s="2">
        <v>3.1623000000000001</v>
      </c>
      <c r="AC12" s="2">
        <v>1</v>
      </c>
      <c r="AD12" s="2">
        <v>1</v>
      </c>
      <c r="AE12" s="2">
        <v>1</v>
      </c>
      <c r="AF12" s="2">
        <v>1</v>
      </c>
      <c r="AG12" s="2">
        <v>0</v>
      </c>
    </row>
    <row r="13" spans="1:33" x14ac:dyDescent="0.3">
      <c r="A13" s="2" t="s">
        <v>35</v>
      </c>
      <c r="B13" s="2" t="s">
        <v>1063</v>
      </c>
      <c r="C13" s="2" t="s">
        <v>43</v>
      </c>
      <c r="D13" s="2" t="s">
        <v>1064</v>
      </c>
      <c r="E13" s="2">
        <v>2017</v>
      </c>
      <c r="F13" s="2">
        <v>1</v>
      </c>
      <c r="G13" s="2">
        <v>0</v>
      </c>
      <c r="H13" s="2">
        <v>1</v>
      </c>
      <c r="I13" s="2">
        <v>0</v>
      </c>
      <c r="J13" s="2">
        <v>1</v>
      </c>
      <c r="K13" s="2">
        <f t="shared" ca="1" si="0"/>
        <v>9</v>
      </c>
      <c r="L13" s="2">
        <v>0</v>
      </c>
      <c r="M13" s="2">
        <v>0</v>
      </c>
      <c r="N13" s="2">
        <v>0</v>
      </c>
      <c r="O13" s="2">
        <f t="shared" ca="1" si="1"/>
        <v>0</v>
      </c>
      <c r="P13" s="2">
        <f t="shared" ca="1" si="2"/>
        <v>50</v>
      </c>
      <c r="Q13" s="2">
        <v>0</v>
      </c>
      <c r="R13" s="2">
        <f t="shared" si="3"/>
        <v>50</v>
      </c>
      <c r="S13" s="2">
        <v>0</v>
      </c>
      <c r="T13" s="2">
        <v>0</v>
      </c>
      <c r="U13" s="2">
        <v>0</v>
      </c>
      <c r="V13" s="2">
        <f t="shared" si="4"/>
        <v>0</v>
      </c>
      <c r="W13" s="2">
        <v>0</v>
      </c>
      <c r="X13" s="2">
        <f t="shared" si="5"/>
        <v>0</v>
      </c>
      <c r="Y13" s="2">
        <v>0</v>
      </c>
      <c r="Z13" s="2">
        <f t="shared" si="6"/>
        <v>0</v>
      </c>
      <c r="AA13" s="2">
        <f t="shared" si="7"/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x14ac:dyDescent="0.3">
      <c r="A14" s="2" t="s">
        <v>35</v>
      </c>
      <c r="B14" s="2" t="s">
        <v>1065</v>
      </c>
      <c r="C14" s="2" t="s">
        <v>43</v>
      </c>
      <c r="D14" s="2" t="s">
        <v>1066</v>
      </c>
      <c r="E14" s="2">
        <v>2025</v>
      </c>
      <c r="F14" s="2">
        <v>1</v>
      </c>
      <c r="G14" s="2">
        <v>0</v>
      </c>
      <c r="H14" s="2">
        <v>1</v>
      </c>
      <c r="I14" s="2">
        <v>0</v>
      </c>
      <c r="J14" s="2">
        <v>1</v>
      </c>
      <c r="K14" s="2">
        <f t="shared" ca="1" si="0"/>
        <v>1</v>
      </c>
      <c r="L14" s="2">
        <v>0</v>
      </c>
      <c r="M14" s="2">
        <v>0</v>
      </c>
      <c r="N14" s="2">
        <v>0</v>
      </c>
      <c r="O14" s="2">
        <f t="shared" ca="1" si="1"/>
        <v>0</v>
      </c>
      <c r="P14" s="2">
        <f t="shared" ca="1" si="2"/>
        <v>50</v>
      </c>
      <c r="Q14" s="2">
        <v>0</v>
      </c>
      <c r="R14" s="2">
        <f t="shared" si="3"/>
        <v>50</v>
      </c>
      <c r="S14" s="2">
        <v>0</v>
      </c>
      <c r="T14" s="2">
        <v>0</v>
      </c>
      <c r="U14" s="2">
        <v>0</v>
      </c>
      <c r="V14" s="2">
        <f t="shared" si="4"/>
        <v>0</v>
      </c>
      <c r="W14" s="2">
        <v>0</v>
      </c>
      <c r="X14" s="2">
        <f t="shared" si="5"/>
        <v>0</v>
      </c>
      <c r="Y14" s="2">
        <v>0</v>
      </c>
      <c r="Z14" s="2">
        <f t="shared" si="6"/>
        <v>0</v>
      </c>
      <c r="AA14" s="2">
        <f t="shared" si="7"/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x14ac:dyDescent="0.3">
      <c r="A15" s="2" t="s">
        <v>35</v>
      </c>
      <c r="B15" s="2" t="s">
        <v>73</v>
      </c>
      <c r="C15" s="2" t="s">
        <v>74</v>
      </c>
      <c r="D15" s="2" t="s">
        <v>75</v>
      </c>
      <c r="E15" s="2">
        <v>1989</v>
      </c>
      <c r="F15" s="2">
        <v>76</v>
      </c>
      <c r="G15" s="2">
        <v>21</v>
      </c>
      <c r="H15" s="2">
        <v>15</v>
      </c>
      <c r="I15" s="2">
        <v>18</v>
      </c>
      <c r="J15" s="2">
        <v>22</v>
      </c>
      <c r="K15" s="2">
        <f t="shared" ca="1" si="0"/>
        <v>37</v>
      </c>
      <c r="L15" s="2">
        <v>26</v>
      </c>
      <c r="M15" s="2">
        <v>44</v>
      </c>
      <c r="N15" s="2">
        <v>2328</v>
      </c>
      <c r="O15" s="2">
        <f t="shared" ca="1" si="1"/>
        <v>0.70270270270270274</v>
      </c>
      <c r="P15" s="2">
        <f t="shared" ca="1" si="2"/>
        <v>46.845661450924609</v>
      </c>
      <c r="Q15" s="2">
        <v>15.430999999999999</v>
      </c>
      <c r="R15" s="2">
        <f t="shared" si="3"/>
        <v>66.224999999999994</v>
      </c>
      <c r="S15" s="2">
        <v>26</v>
      </c>
      <c r="T15" s="2">
        <v>47</v>
      </c>
      <c r="U15" s="2">
        <v>74.807699999999997</v>
      </c>
      <c r="V15" s="2">
        <f t="shared" si="4"/>
        <v>44.102156409862772</v>
      </c>
      <c r="W15" s="2">
        <v>8</v>
      </c>
      <c r="X15" s="2">
        <f t="shared" si="5"/>
        <v>34.957116585897069</v>
      </c>
      <c r="Y15" s="2">
        <v>54</v>
      </c>
      <c r="Z15" s="2">
        <f t="shared" si="6"/>
        <v>37.469987990390386</v>
      </c>
      <c r="AA15" s="2">
        <f t="shared" si="7"/>
        <v>35.623029068286712</v>
      </c>
      <c r="AB15" s="2">
        <v>130.33420000000001</v>
      </c>
      <c r="AC15" s="2">
        <v>16</v>
      </c>
      <c r="AD15" s="2">
        <v>2</v>
      </c>
      <c r="AE15" s="2">
        <v>9</v>
      </c>
      <c r="AF15" s="2">
        <v>16</v>
      </c>
      <c r="AG15" s="2">
        <v>12</v>
      </c>
    </row>
    <row r="16" spans="1:33" x14ac:dyDescent="0.3">
      <c r="A16" s="2" t="s">
        <v>35</v>
      </c>
      <c r="B16" s="2" t="s">
        <v>1067</v>
      </c>
      <c r="C16" s="2" t="s">
        <v>55</v>
      </c>
      <c r="D16" s="2" t="s">
        <v>1068</v>
      </c>
      <c r="E16" s="2">
        <v>2000</v>
      </c>
      <c r="F16" s="2">
        <v>3</v>
      </c>
      <c r="G16" s="2">
        <v>0</v>
      </c>
      <c r="H16" s="2">
        <v>3</v>
      </c>
      <c r="I16" s="2">
        <v>3</v>
      </c>
      <c r="J16" s="2">
        <v>3</v>
      </c>
      <c r="K16" s="2">
        <f t="shared" ca="1" si="0"/>
        <v>26</v>
      </c>
      <c r="L16" s="2">
        <v>0</v>
      </c>
      <c r="M16" s="2">
        <v>0</v>
      </c>
      <c r="N16" s="2">
        <v>0</v>
      </c>
      <c r="O16" s="2">
        <f t="shared" ca="1" si="1"/>
        <v>0</v>
      </c>
      <c r="P16" s="2">
        <f t="shared" ca="1" si="2"/>
        <v>50</v>
      </c>
      <c r="Q16" s="2">
        <v>0</v>
      </c>
      <c r="R16" s="2">
        <f t="shared" si="3"/>
        <v>50</v>
      </c>
      <c r="S16" s="2">
        <v>0</v>
      </c>
      <c r="T16" s="2">
        <v>0</v>
      </c>
      <c r="U16" s="2">
        <v>0</v>
      </c>
      <c r="V16" s="2">
        <f t="shared" si="4"/>
        <v>0</v>
      </c>
      <c r="W16" s="2">
        <v>0</v>
      </c>
      <c r="X16" s="2">
        <f t="shared" si="5"/>
        <v>0</v>
      </c>
      <c r="Y16" s="2">
        <v>0</v>
      </c>
      <c r="Z16" s="2">
        <f t="shared" si="6"/>
        <v>0</v>
      </c>
      <c r="AA16" s="2">
        <f t="shared" si="7"/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3">
      <c r="A17" s="2" t="s">
        <v>35</v>
      </c>
      <c r="B17" s="2" t="s">
        <v>77</v>
      </c>
      <c r="C17" s="2" t="s">
        <v>62</v>
      </c>
      <c r="D17" s="2" t="s">
        <v>78</v>
      </c>
      <c r="E17" s="2">
        <v>2026</v>
      </c>
      <c r="F17" s="2">
        <v>2</v>
      </c>
      <c r="G17" s="2">
        <v>1</v>
      </c>
      <c r="H17" s="2">
        <v>0</v>
      </c>
      <c r="I17" s="2">
        <v>2</v>
      </c>
      <c r="J17" s="2">
        <v>2</v>
      </c>
      <c r="K17" s="2">
        <f t="shared" ca="1" si="0"/>
        <v>1</v>
      </c>
      <c r="L17" s="2">
        <v>1</v>
      </c>
      <c r="M17" s="2">
        <v>0</v>
      </c>
      <c r="N17" s="2">
        <v>2</v>
      </c>
      <c r="O17" s="2">
        <f t="shared" ca="1" si="1"/>
        <v>1</v>
      </c>
      <c r="P17" s="2">
        <f t="shared" ca="1" si="2"/>
        <v>145</v>
      </c>
      <c r="Q17" s="2">
        <v>1</v>
      </c>
      <c r="R17" s="2">
        <f t="shared" si="3"/>
        <v>145</v>
      </c>
      <c r="S17" s="2">
        <v>1</v>
      </c>
      <c r="T17" s="2">
        <v>1</v>
      </c>
      <c r="U17" s="2">
        <v>1</v>
      </c>
      <c r="V17" s="2">
        <f t="shared" si="4"/>
        <v>1</v>
      </c>
      <c r="W17" s="2">
        <v>1</v>
      </c>
      <c r="X17" s="2">
        <f t="shared" si="5"/>
        <v>1</v>
      </c>
      <c r="Y17" s="2">
        <v>1</v>
      </c>
      <c r="Z17" s="2">
        <f t="shared" si="6"/>
        <v>1</v>
      </c>
      <c r="AA17" s="2">
        <f t="shared" si="7"/>
        <v>0</v>
      </c>
      <c r="AB17" s="2">
        <v>1</v>
      </c>
      <c r="AC17" s="2">
        <v>1</v>
      </c>
      <c r="AD17" s="2">
        <v>0</v>
      </c>
      <c r="AE17" s="2">
        <v>0</v>
      </c>
      <c r="AF17" s="2">
        <v>0</v>
      </c>
      <c r="AG17" s="2">
        <v>1</v>
      </c>
    </row>
    <row r="18" spans="1:33" x14ac:dyDescent="0.3">
      <c r="A18" s="2" t="s">
        <v>35</v>
      </c>
      <c r="B18" s="2" t="s">
        <v>80</v>
      </c>
      <c r="C18" s="2" t="s">
        <v>81</v>
      </c>
      <c r="D18" s="2" t="s">
        <v>82</v>
      </c>
      <c r="E18" s="2">
        <v>2001</v>
      </c>
      <c r="F18" s="2">
        <v>96</v>
      </c>
      <c r="G18" s="2">
        <v>19</v>
      </c>
      <c r="H18" s="2">
        <v>5</v>
      </c>
      <c r="I18" s="2">
        <v>57</v>
      </c>
      <c r="J18" s="2">
        <v>58</v>
      </c>
      <c r="K18" s="2">
        <f t="shared" ca="1" si="0"/>
        <v>25</v>
      </c>
      <c r="L18" s="2">
        <v>36</v>
      </c>
      <c r="M18" s="2">
        <v>57</v>
      </c>
      <c r="N18" s="2">
        <v>3352</v>
      </c>
      <c r="O18" s="2">
        <f t="shared" ca="1" si="1"/>
        <v>1.44</v>
      </c>
      <c r="P18" s="2">
        <f t="shared" ca="1" si="2"/>
        <v>67.229166666666671</v>
      </c>
      <c r="Q18" s="2">
        <v>17.295100000000001</v>
      </c>
      <c r="R18" s="2">
        <f t="shared" si="3"/>
        <v>83.744895833333345</v>
      </c>
      <c r="S18" s="2">
        <v>36</v>
      </c>
      <c r="T18" s="2">
        <v>57</v>
      </c>
      <c r="U18" s="2">
        <v>79.333299999999994</v>
      </c>
      <c r="V18" s="2">
        <f t="shared" si="4"/>
        <v>53.441545636330538</v>
      </c>
      <c r="W18" s="2">
        <v>10</v>
      </c>
      <c r="X18" s="2">
        <f t="shared" si="5"/>
        <v>45.299006611624499</v>
      </c>
      <c r="Y18" s="2">
        <v>68.5</v>
      </c>
      <c r="Z18" s="2">
        <f t="shared" si="6"/>
        <v>49.658836071740545</v>
      </c>
      <c r="AA18" s="2">
        <f t="shared" si="7"/>
        <v>39.49682012516957</v>
      </c>
      <c r="AB18" s="2">
        <v>201.9777</v>
      </c>
      <c r="AC18" s="2">
        <v>28</v>
      </c>
      <c r="AD18" s="2">
        <v>0</v>
      </c>
      <c r="AE18" s="2">
        <v>9</v>
      </c>
      <c r="AF18" s="2">
        <v>12</v>
      </c>
      <c r="AG18" s="2">
        <v>24</v>
      </c>
    </row>
    <row r="19" spans="1:33" x14ac:dyDescent="0.3">
      <c r="A19" s="2" t="s">
        <v>35</v>
      </c>
      <c r="B19" s="2" t="s">
        <v>84</v>
      </c>
      <c r="C19" s="2" t="s">
        <v>43</v>
      </c>
      <c r="D19" s="2" t="s">
        <v>85</v>
      </c>
      <c r="E19" s="2">
        <v>2005</v>
      </c>
      <c r="F19" s="2">
        <v>15</v>
      </c>
      <c r="G19" s="2">
        <v>0</v>
      </c>
      <c r="H19" s="2">
        <v>14</v>
      </c>
      <c r="I19" s="2">
        <v>13</v>
      </c>
      <c r="J19" s="2">
        <v>14</v>
      </c>
      <c r="K19" s="2">
        <f t="shared" ca="1" si="0"/>
        <v>21</v>
      </c>
      <c r="L19" s="2">
        <v>3</v>
      </c>
      <c r="M19" s="2">
        <v>2</v>
      </c>
      <c r="N19" s="2">
        <v>29</v>
      </c>
      <c r="O19" s="2">
        <f t="shared" ca="1" si="1"/>
        <v>0.14285714285714285</v>
      </c>
      <c r="P19" s="2">
        <f t="shared" ca="1" si="2"/>
        <v>67.61904761904762</v>
      </c>
      <c r="Q19" s="2">
        <v>1.4894000000000001</v>
      </c>
      <c r="R19" s="2">
        <f t="shared" si="3"/>
        <v>76.596000000000004</v>
      </c>
      <c r="S19" s="2">
        <v>3</v>
      </c>
      <c r="T19" s="2">
        <v>5</v>
      </c>
      <c r="U19" s="2">
        <v>8.6667000000000005</v>
      </c>
      <c r="V19" s="2">
        <f t="shared" si="4"/>
        <v>5.0990293193901133</v>
      </c>
      <c r="W19" s="2">
        <v>2</v>
      </c>
      <c r="X19" s="2">
        <f t="shared" si="5"/>
        <v>3.872983346207417</v>
      </c>
      <c r="Y19" s="2">
        <v>11</v>
      </c>
      <c r="Z19" s="2">
        <f t="shared" si="6"/>
        <v>5.7445626465380286</v>
      </c>
      <c r="AA19" s="2">
        <f t="shared" si="7"/>
        <v>4.1231177523810789</v>
      </c>
      <c r="AB19" s="2">
        <v>6.5574000000000003</v>
      </c>
      <c r="AC19" s="2">
        <v>3</v>
      </c>
      <c r="AD19" s="2">
        <v>1</v>
      </c>
      <c r="AE19" s="2">
        <v>0</v>
      </c>
      <c r="AF19" s="2">
        <v>0</v>
      </c>
      <c r="AG19" s="2">
        <v>3</v>
      </c>
    </row>
    <row r="20" spans="1:33" x14ac:dyDescent="0.3">
      <c r="A20" s="2" t="s">
        <v>35</v>
      </c>
      <c r="B20" s="2" t="s">
        <v>87</v>
      </c>
      <c r="C20" s="2" t="s">
        <v>55</v>
      </c>
      <c r="D20" s="2" t="s">
        <v>88</v>
      </c>
      <c r="E20" s="2">
        <v>2012</v>
      </c>
      <c r="F20" s="2">
        <v>16</v>
      </c>
      <c r="G20" s="2">
        <v>0</v>
      </c>
      <c r="H20" s="2">
        <v>14</v>
      </c>
      <c r="I20" s="2">
        <v>13</v>
      </c>
      <c r="J20" s="2">
        <v>14</v>
      </c>
      <c r="K20" s="2">
        <f t="shared" ca="1" si="0"/>
        <v>14</v>
      </c>
      <c r="L20" s="2">
        <v>2</v>
      </c>
      <c r="M20" s="2">
        <v>0</v>
      </c>
      <c r="N20" s="2">
        <v>12</v>
      </c>
      <c r="O20" s="2">
        <f t="shared" ca="1" si="1"/>
        <v>0.14285714285714285</v>
      </c>
      <c r="P20" s="2">
        <f t="shared" ca="1" si="2"/>
        <v>57.142857142857139</v>
      </c>
      <c r="Q20" s="2">
        <v>0.75080000000000002</v>
      </c>
      <c r="R20" s="2">
        <f t="shared" si="3"/>
        <v>60.942500000000003</v>
      </c>
      <c r="S20" s="2">
        <v>2</v>
      </c>
      <c r="T20" s="2">
        <v>2</v>
      </c>
      <c r="U20" s="2">
        <v>3</v>
      </c>
      <c r="V20" s="2">
        <f t="shared" si="4"/>
        <v>2.4494897427831779</v>
      </c>
      <c r="W20" s="2">
        <v>1</v>
      </c>
      <c r="X20" s="2">
        <f t="shared" si="5"/>
        <v>2</v>
      </c>
      <c r="Y20" s="2">
        <v>3</v>
      </c>
      <c r="Z20" s="2">
        <f t="shared" si="6"/>
        <v>2.4494897427831779</v>
      </c>
      <c r="AA20" s="2">
        <f t="shared" si="7"/>
        <v>1.4142135623730951</v>
      </c>
      <c r="AB20" s="2">
        <v>2.8283999999999998</v>
      </c>
      <c r="AC20" s="2">
        <v>2</v>
      </c>
      <c r="AD20" s="2">
        <v>0</v>
      </c>
      <c r="AE20" s="2">
        <v>1</v>
      </c>
      <c r="AF20" s="2">
        <v>0</v>
      </c>
      <c r="AG20" s="2">
        <v>2</v>
      </c>
    </row>
    <row r="21" spans="1:33" x14ac:dyDescent="0.3">
      <c r="A21" s="2" t="s">
        <v>35</v>
      </c>
      <c r="B21" s="2" t="s">
        <v>90</v>
      </c>
      <c r="C21" s="2" t="s">
        <v>91</v>
      </c>
      <c r="D21" s="2" t="s">
        <v>92</v>
      </c>
      <c r="E21" s="2">
        <v>1996</v>
      </c>
      <c r="F21" s="2">
        <v>86</v>
      </c>
      <c r="G21" s="2">
        <v>50</v>
      </c>
      <c r="H21" s="2">
        <v>21</v>
      </c>
      <c r="I21" s="2">
        <v>16</v>
      </c>
      <c r="J21" s="2">
        <v>25</v>
      </c>
      <c r="K21" s="2">
        <f t="shared" ca="1" si="0"/>
        <v>30</v>
      </c>
      <c r="L21" s="2">
        <v>12</v>
      </c>
      <c r="M21" s="2">
        <v>15</v>
      </c>
      <c r="N21" s="2">
        <v>526</v>
      </c>
      <c r="O21" s="2">
        <f t="shared" ca="1" si="1"/>
        <v>0.4</v>
      </c>
      <c r="P21" s="2">
        <f t="shared" ca="1" si="2"/>
        <v>23.13953488372093</v>
      </c>
      <c r="Q21" s="2">
        <v>7.0972999999999997</v>
      </c>
      <c r="R21" s="2">
        <f t="shared" si="3"/>
        <v>30.927093023255818</v>
      </c>
      <c r="S21" s="2">
        <v>12</v>
      </c>
      <c r="T21" s="2">
        <v>21</v>
      </c>
      <c r="U21" s="2">
        <v>32</v>
      </c>
      <c r="V21" s="2">
        <f t="shared" si="4"/>
        <v>19.595917942265423</v>
      </c>
      <c r="W21" s="2">
        <v>5</v>
      </c>
      <c r="X21" s="2">
        <f t="shared" si="5"/>
        <v>15.874507866387544</v>
      </c>
      <c r="Y21" s="2">
        <v>22</v>
      </c>
      <c r="Z21" s="2">
        <f t="shared" si="6"/>
        <v>16.248076809271922</v>
      </c>
      <c r="AA21" s="2">
        <f t="shared" si="7"/>
        <v>15.491933384829668</v>
      </c>
      <c r="AB21" s="2">
        <v>40.6571</v>
      </c>
      <c r="AC21" s="2">
        <v>7</v>
      </c>
      <c r="AD21" s="2">
        <v>2</v>
      </c>
      <c r="AE21" s="2">
        <v>4</v>
      </c>
      <c r="AF21" s="2">
        <v>10</v>
      </c>
      <c r="AG21" s="2">
        <v>4</v>
      </c>
    </row>
    <row r="22" spans="1:33" x14ac:dyDescent="0.3">
      <c r="A22" s="2" t="s">
        <v>35</v>
      </c>
      <c r="B22" s="2" t="s">
        <v>95</v>
      </c>
      <c r="C22" s="2" t="s">
        <v>91</v>
      </c>
      <c r="D22" s="2" t="s">
        <v>96</v>
      </c>
      <c r="E22" s="2">
        <v>1983</v>
      </c>
      <c r="F22" s="2">
        <v>34</v>
      </c>
      <c r="G22" s="2">
        <v>8</v>
      </c>
      <c r="H22" s="2">
        <v>20</v>
      </c>
      <c r="I22" s="2">
        <v>13</v>
      </c>
      <c r="J22" s="2">
        <v>20</v>
      </c>
      <c r="K22" s="2">
        <f t="shared" ca="1" si="0"/>
        <v>43</v>
      </c>
      <c r="L22" s="2">
        <v>8</v>
      </c>
      <c r="M22" s="2">
        <v>6</v>
      </c>
      <c r="N22" s="2">
        <v>231</v>
      </c>
      <c r="O22" s="2">
        <f t="shared" ca="1" si="1"/>
        <v>0.18604651162790697</v>
      </c>
      <c r="P22" s="2">
        <f t="shared" ca="1" si="2"/>
        <v>51.135430916552671</v>
      </c>
      <c r="Q22" s="2">
        <v>4.9318</v>
      </c>
      <c r="R22" s="2">
        <f t="shared" si="3"/>
        <v>65.093529411764706</v>
      </c>
      <c r="S22" s="2">
        <v>8</v>
      </c>
      <c r="T22" s="2">
        <v>14</v>
      </c>
      <c r="U22" s="2">
        <v>22.75</v>
      </c>
      <c r="V22" s="2">
        <f t="shared" si="4"/>
        <v>13.490737563232042</v>
      </c>
      <c r="W22" s="2">
        <v>4</v>
      </c>
      <c r="X22" s="2">
        <f t="shared" si="5"/>
        <v>10.583005244258363</v>
      </c>
      <c r="Y22" s="2">
        <v>16</v>
      </c>
      <c r="Z22" s="2">
        <f t="shared" si="6"/>
        <v>11.313708498984761</v>
      </c>
      <c r="AA22" s="2">
        <f t="shared" si="7"/>
        <v>10.862780491200215</v>
      </c>
      <c r="AB22" s="2">
        <v>23.388000000000002</v>
      </c>
      <c r="AC22" s="2">
        <v>6</v>
      </c>
      <c r="AD22" s="2">
        <v>4</v>
      </c>
      <c r="AE22" s="2">
        <v>0</v>
      </c>
      <c r="AF22" s="2">
        <v>5</v>
      </c>
      <c r="AG22" s="2">
        <v>4</v>
      </c>
    </row>
    <row r="23" spans="1:33" x14ac:dyDescent="0.3">
      <c r="A23" s="2" t="s">
        <v>35</v>
      </c>
      <c r="B23" s="2" t="s">
        <v>98</v>
      </c>
      <c r="C23" s="2" t="s">
        <v>99</v>
      </c>
      <c r="D23" s="2" t="s">
        <v>100</v>
      </c>
      <c r="E23" s="2">
        <v>1976</v>
      </c>
      <c r="F23" s="2">
        <v>652</v>
      </c>
      <c r="G23" s="2">
        <v>332</v>
      </c>
      <c r="H23" s="2">
        <v>157</v>
      </c>
      <c r="I23" s="2">
        <v>108</v>
      </c>
      <c r="J23" s="2">
        <v>231</v>
      </c>
      <c r="K23" s="2">
        <f t="shared" ca="1" si="0"/>
        <v>50</v>
      </c>
      <c r="L23" s="2">
        <v>58</v>
      </c>
      <c r="M23" s="2">
        <v>306</v>
      </c>
      <c r="N23" s="2">
        <v>13716</v>
      </c>
      <c r="O23" s="2">
        <f t="shared" ca="1" si="1"/>
        <v>1.1599999999999999</v>
      </c>
      <c r="P23" s="2">
        <f t="shared" ca="1" si="2"/>
        <v>21.69631901840491</v>
      </c>
      <c r="Q23" s="2">
        <v>22.783200000000001</v>
      </c>
      <c r="R23" s="2">
        <f t="shared" si="3"/>
        <v>25.01276073619632</v>
      </c>
      <c r="S23" s="2">
        <v>58</v>
      </c>
      <c r="T23" s="2">
        <v>89</v>
      </c>
      <c r="U23" s="2">
        <v>109.5172</v>
      </c>
      <c r="V23" s="2">
        <f t="shared" si="4"/>
        <v>79.69942032411528</v>
      </c>
      <c r="W23" s="2">
        <v>12</v>
      </c>
      <c r="X23" s="2">
        <f t="shared" si="5"/>
        <v>71.847059786744225</v>
      </c>
      <c r="Y23" s="2">
        <v>87</v>
      </c>
      <c r="Z23" s="2">
        <f t="shared" si="6"/>
        <v>71.035202540712163</v>
      </c>
      <c r="AA23" s="2">
        <f t="shared" si="7"/>
        <v>54.662579522009395</v>
      </c>
      <c r="AB23" s="2">
        <v>376.04520000000002</v>
      </c>
      <c r="AC23" s="2">
        <v>41</v>
      </c>
      <c r="AD23" s="2">
        <v>25</v>
      </c>
      <c r="AE23" s="2">
        <v>30</v>
      </c>
      <c r="AF23" s="2">
        <v>43</v>
      </c>
      <c r="AG23" s="2">
        <v>28</v>
      </c>
    </row>
    <row r="24" spans="1:33" x14ac:dyDescent="0.3">
      <c r="A24" s="2" t="s">
        <v>35</v>
      </c>
      <c r="B24" s="2" t="s">
        <v>102</v>
      </c>
      <c r="C24" s="2" t="s">
        <v>74</v>
      </c>
      <c r="D24" s="2" t="s">
        <v>103</v>
      </c>
      <c r="E24" s="2">
        <v>2005</v>
      </c>
      <c r="F24" s="2">
        <v>75</v>
      </c>
      <c r="G24" s="2">
        <v>22</v>
      </c>
      <c r="H24" s="2">
        <v>21</v>
      </c>
      <c r="I24" s="2">
        <v>12</v>
      </c>
      <c r="J24" s="2">
        <v>29</v>
      </c>
      <c r="K24" s="2">
        <f t="shared" ca="1" si="0"/>
        <v>21</v>
      </c>
      <c r="L24" s="2">
        <v>20</v>
      </c>
      <c r="M24" s="2">
        <v>27</v>
      </c>
      <c r="N24" s="2">
        <v>1192</v>
      </c>
      <c r="O24" s="2">
        <f t="shared" ca="1" si="1"/>
        <v>0.95238095238095233</v>
      </c>
      <c r="P24" s="2">
        <f t="shared" ca="1" si="2"/>
        <v>44.336507936507928</v>
      </c>
      <c r="Q24" s="2">
        <v>9.83</v>
      </c>
      <c r="R24" s="2">
        <f t="shared" si="3"/>
        <v>56.173333333333325</v>
      </c>
      <c r="S24" s="2">
        <v>20</v>
      </c>
      <c r="T24" s="2">
        <v>33</v>
      </c>
      <c r="U24" s="2">
        <v>49.7</v>
      </c>
      <c r="V24" s="2">
        <f t="shared" si="4"/>
        <v>31.527765540868891</v>
      </c>
      <c r="W24" s="2">
        <v>7</v>
      </c>
      <c r="X24" s="2">
        <f t="shared" si="5"/>
        <v>25.690465157330259</v>
      </c>
      <c r="Y24" s="2">
        <v>37.5</v>
      </c>
      <c r="Z24" s="2">
        <f t="shared" si="6"/>
        <v>27.386127875258307</v>
      </c>
      <c r="AA24" s="2">
        <f t="shared" si="7"/>
        <v>24.372115213907882</v>
      </c>
      <c r="AB24" s="2">
        <v>86.040700000000001</v>
      </c>
      <c r="AC24" s="2">
        <v>12</v>
      </c>
      <c r="AD24" s="2">
        <v>8</v>
      </c>
      <c r="AE24" s="2">
        <v>7</v>
      </c>
      <c r="AF24" s="2">
        <v>9</v>
      </c>
      <c r="AG24" s="2">
        <v>5</v>
      </c>
    </row>
    <row r="25" spans="1:33" x14ac:dyDescent="0.3">
      <c r="A25" s="2" t="s">
        <v>35</v>
      </c>
      <c r="B25" s="2" t="s">
        <v>105</v>
      </c>
      <c r="C25" s="2" t="s">
        <v>74</v>
      </c>
      <c r="D25" s="2" t="s">
        <v>106</v>
      </c>
      <c r="E25" s="2">
        <v>1984</v>
      </c>
      <c r="F25" s="2">
        <v>53</v>
      </c>
      <c r="G25" s="2">
        <v>20</v>
      </c>
      <c r="H25" s="2">
        <v>4</v>
      </c>
      <c r="I25" s="2">
        <v>7</v>
      </c>
      <c r="J25" s="2">
        <v>9</v>
      </c>
      <c r="K25" s="2">
        <f t="shared" ca="1" si="0"/>
        <v>42</v>
      </c>
      <c r="L25" s="2">
        <v>18</v>
      </c>
      <c r="M25" s="2">
        <v>25</v>
      </c>
      <c r="N25" s="2">
        <v>1160</v>
      </c>
      <c r="O25" s="2">
        <f t="shared" ca="1" si="1"/>
        <v>0.42857142857142855</v>
      </c>
      <c r="P25" s="2">
        <f t="shared" ca="1" si="2"/>
        <v>39.487870619946086</v>
      </c>
      <c r="Q25" s="2">
        <v>8.8879000000000001</v>
      </c>
      <c r="R25" s="2">
        <f t="shared" si="3"/>
        <v>55.448867924528308</v>
      </c>
      <c r="S25" s="2">
        <v>18</v>
      </c>
      <c r="T25" s="2">
        <v>33</v>
      </c>
      <c r="U25" s="2">
        <v>55.222200000000001</v>
      </c>
      <c r="V25" s="2">
        <f t="shared" si="4"/>
        <v>31.527759197253456</v>
      </c>
      <c r="W25" s="2">
        <v>7</v>
      </c>
      <c r="X25" s="2">
        <f t="shared" si="5"/>
        <v>24.372115213907882</v>
      </c>
      <c r="Y25" s="2">
        <v>34</v>
      </c>
      <c r="Z25" s="2">
        <f t="shared" si="6"/>
        <v>24.738633753705962</v>
      </c>
      <c r="AA25" s="2">
        <f t="shared" si="7"/>
        <v>25.884350484414323</v>
      </c>
      <c r="AB25" s="2">
        <v>76.504900000000006</v>
      </c>
      <c r="AC25" s="2">
        <v>10</v>
      </c>
      <c r="AD25" s="2">
        <v>2</v>
      </c>
      <c r="AE25" s="2">
        <v>7</v>
      </c>
      <c r="AF25" s="2">
        <v>12</v>
      </c>
      <c r="AG25" s="2">
        <v>5</v>
      </c>
    </row>
    <row r="26" spans="1:33" x14ac:dyDescent="0.3">
      <c r="A26" s="2" t="s">
        <v>35</v>
      </c>
      <c r="B26" s="2" t="s">
        <v>108</v>
      </c>
      <c r="C26" s="2" t="s">
        <v>109</v>
      </c>
      <c r="D26" s="2" t="s">
        <v>110</v>
      </c>
      <c r="E26" s="2">
        <v>2008</v>
      </c>
      <c r="F26" s="2">
        <v>38</v>
      </c>
      <c r="G26" s="2">
        <v>4</v>
      </c>
      <c r="H26" s="2">
        <v>15</v>
      </c>
      <c r="I26" s="2">
        <v>7</v>
      </c>
      <c r="J26" s="2">
        <v>17</v>
      </c>
      <c r="K26" s="2">
        <f t="shared" ca="1" si="0"/>
        <v>18</v>
      </c>
      <c r="L26" s="2">
        <v>10</v>
      </c>
      <c r="M26" s="2">
        <v>10</v>
      </c>
      <c r="N26" s="2">
        <v>373</v>
      </c>
      <c r="O26" s="2">
        <f t="shared" ca="1" si="1"/>
        <v>0.55555555555555558</v>
      </c>
      <c r="P26" s="2">
        <f t="shared" ca="1" si="2"/>
        <v>49.093567251461998</v>
      </c>
      <c r="Q26" s="2">
        <v>4.6193999999999997</v>
      </c>
      <c r="R26" s="2">
        <f t="shared" si="3"/>
        <v>59.787894736842112</v>
      </c>
      <c r="S26" s="2">
        <v>10</v>
      </c>
      <c r="T26" s="2">
        <v>19</v>
      </c>
      <c r="U26" s="2">
        <v>32.200000000000003</v>
      </c>
      <c r="V26" s="2">
        <f t="shared" si="4"/>
        <v>17.944358444926362</v>
      </c>
      <c r="W26" s="2">
        <v>5</v>
      </c>
      <c r="X26" s="2">
        <f t="shared" si="5"/>
        <v>13.784048752090222</v>
      </c>
      <c r="Y26" s="2">
        <v>26.5</v>
      </c>
      <c r="Z26" s="2">
        <f t="shared" si="6"/>
        <v>16.278820596099706</v>
      </c>
      <c r="AA26" s="2">
        <f t="shared" si="7"/>
        <v>14.89966442575134</v>
      </c>
      <c r="AB26" s="2">
        <v>35.2562</v>
      </c>
      <c r="AC26" s="2">
        <v>8</v>
      </c>
      <c r="AD26" s="2">
        <v>6</v>
      </c>
      <c r="AE26" s="2">
        <v>3</v>
      </c>
      <c r="AF26" s="2">
        <v>4</v>
      </c>
      <c r="AG26" s="2">
        <v>2</v>
      </c>
    </row>
    <row r="27" spans="1:33" x14ac:dyDescent="0.3">
      <c r="A27" s="2" t="s">
        <v>35</v>
      </c>
      <c r="B27" s="2" t="s">
        <v>112</v>
      </c>
      <c r="C27" s="2" t="s">
        <v>43</v>
      </c>
      <c r="D27" s="2" t="s">
        <v>113</v>
      </c>
      <c r="E27" s="2">
        <v>2006</v>
      </c>
      <c r="F27" s="2">
        <v>32</v>
      </c>
      <c r="G27" s="2">
        <v>6</v>
      </c>
      <c r="H27" s="2">
        <v>12</v>
      </c>
      <c r="I27" s="2">
        <v>9</v>
      </c>
      <c r="J27" s="2">
        <v>13</v>
      </c>
      <c r="K27" s="2">
        <f t="shared" ca="1" si="0"/>
        <v>20</v>
      </c>
      <c r="L27" s="2">
        <v>13</v>
      </c>
      <c r="M27" s="2">
        <v>13</v>
      </c>
      <c r="N27" s="2">
        <v>1248</v>
      </c>
      <c r="O27" s="2">
        <f t="shared" ca="1" si="1"/>
        <v>0.65</v>
      </c>
      <c r="P27" s="2">
        <f t="shared" ca="1" si="2"/>
        <v>61.093749999999993</v>
      </c>
      <c r="Q27" s="2">
        <v>9.6844000000000001</v>
      </c>
      <c r="R27" s="2">
        <f t="shared" si="3"/>
        <v>89.326250000000002</v>
      </c>
      <c r="S27" s="2">
        <v>13</v>
      </c>
      <c r="T27" s="2">
        <v>32</v>
      </c>
      <c r="U27" s="2">
        <v>93.076899999999995</v>
      </c>
      <c r="V27" s="2">
        <f t="shared" si="4"/>
        <v>34.785049949655097</v>
      </c>
      <c r="W27" s="2">
        <v>6</v>
      </c>
      <c r="X27" s="2">
        <f t="shared" si="5"/>
        <v>20.396078054371138</v>
      </c>
      <c r="Y27" s="2">
        <v>38</v>
      </c>
      <c r="Z27" s="2">
        <f t="shared" si="6"/>
        <v>22.22611077089287</v>
      </c>
      <c r="AA27" s="2">
        <f t="shared" si="7"/>
        <v>32.264526960735061</v>
      </c>
      <c r="AB27" s="2">
        <v>66.460499999999996</v>
      </c>
      <c r="AC27" s="2">
        <v>9</v>
      </c>
      <c r="AD27" s="2">
        <v>2</v>
      </c>
      <c r="AE27" s="2">
        <v>4</v>
      </c>
      <c r="AF27" s="2">
        <v>6</v>
      </c>
      <c r="AG27" s="2">
        <v>4</v>
      </c>
    </row>
    <row r="28" spans="1:33" x14ac:dyDescent="0.3">
      <c r="A28" s="2" t="s">
        <v>35</v>
      </c>
      <c r="B28" s="2" t="s">
        <v>115</v>
      </c>
      <c r="C28" s="2" t="s">
        <v>43</v>
      </c>
      <c r="D28" s="2" t="s">
        <v>116</v>
      </c>
      <c r="E28" s="2">
        <v>1993</v>
      </c>
      <c r="F28" s="2">
        <v>48</v>
      </c>
      <c r="G28" s="2">
        <v>3</v>
      </c>
      <c r="H28" s="2">
        <v>32</v>
      </c>
      <c r="I28" s="2">
        <v>25</v>
      </c>
      <c r="J28" s="2">
        <v>32</v>
      </c>
      <c r="K28" s="2">
        <f t="shared" ca="1" si="0"/>
        <v>33</v>
      </c>
      <c r="L28" s="2">
        <v>9</v>
      </c>
      <c r="M28" s="2">
        <v>9</v>
      </c>
      <c r="N28" s="2">
        <v>4961</v>
      </c>
      <c r="O28" s="2">
        <f t="shared" ca="1" si="1"/>
        <v>0.27272727272727271</v>
      </c>
      <c r="P28" s="2">
        <f t="shared" ca="1" si="2"/>
        <v>52.026515151515156</v>
      </c>
      <c r="Q28" s="2">
        <v>21.015699999999999</v>
      </c>
      <c r="R28" s="2">
        <f t="shared" si="3"/>
        <v>95.241041666666675</v>
      </c>
      <c r="S28" s="2">
        <v>9</v>
      </c>
      <c r="T28" s="2">
        <v>48</v>
      </c>
      <c r="U28" s="2">
        <v>546.44439999999997</v>
      </c>
      <c r="V28" s="2">
        <f t="shared" si="4"/>
        <v>70.128450717237442</v>
      </c>
      <c r="W28" s="2">
        <v>3</v>
      </c>
      <c r="X28" s="2">
        <f t="shared" si="5"/>
        <v>20.784609690826528</v>
      </c>
      <c r="Y28" s="2">
        <v>14</v>
      </c>
      <c r="Z28" s="2">
        <f t="shared" si="6"/>
        <v>11.224972160321824</v>
      </c>
      <c r="AA28" s="2">
        <f t="shared" si="7"/>
        <v>69.548541321871014</v>
      </c>
      <c r="AB28" s="2">
        <v>80</v>
      </c>
      <c r="AC28" s="2">
        <v>7</v>
      </c>
      <c r="AD28" s="2">
        <v>3</v>
      </c>
      <c r="AE28" s="2">
        <v>4</v>
      </c>
      <c r="AF28" s="2">
        <v>3</v>
      </c>
      <c r="AG28" s="2">
        <v>4</v>
      </c>
    </row>
    <row r="29" spans="1:33" x14ac:dyDescent="0.3">
      <c r="A29" s="2" t="s">
        <v>35</v>
      </c>
      <c r="B29" s="2" t="s">
        <v>118</v>
      </c>
      <c r="C29" s="2" t="s">
        <v>51</v>
      </c>
      <c r="D29" s="2" t="s">
        <v>119</v>
      </c>
      <c r="E29" s="2">
        <v>1986</v>
      </c>
      <c r="F29" s="2">
        <v>309</v>
      </c>
      <c r="G29" s="2">
        <v>138</v>
      </c>
      <c r="H29" s="2">
        <v>58</v>
      </c>
      <c r="I29" s="2">
        <v>49</v>
      </c>
      <c r="J29" s="2">
        <v>95</v>
      </c>
      <c r="K29" s="2">
        <f t="shared" ca="1" si="0"/>
        <v>40</v>
      </c>
      <c r="L29" s="2">
        <v>29</v>
      </c>
      <c r="M29" s="2">
        <v>62</v>
      </c>
      <c r="N29" s="2">
        <v>3899</v>
      </c>
      <c r="O29" s="2">
        <f t="shared" ca="1" si="1"/>
        <v>0.72499999999999998</v>
      </c>
      <c r="P29" s="2">
        <f t="shared" ca="1" si="2"/>
        <v>20.525889967637539</v>
      </c>
      <c r="Q29" s="2">
        <v>13.711</v>
      </c>
      <c r="R29" s="2">
        <f t="shared" si="3"/>
        <v>24.728478964401294</v>
      </c>
      <c r="S29" s="2">
        <v>29</v>
      </c>
      <c r="T29" s="2">
        <v>58</v>
      </c>
      <c r="U29" s="2">
        <v>99.930999999999997</v>
      </c>
      <c r="V29" s="2">
        <f t="shared" si="4"/>
        <v>53.833066046808071</v>
      </c>
      <c r="W29" s="2">
        <v>9</v>
      </c>
      <c r="X29" s="2">
        <f t="shared" si="5"/>
        <v>41.012193308819754</v>
      </c>
      <c r="Y29" s="2">
        <v>54</v>
      </c>
      <c r="Z29" s="2">
        <f t="shared" si="6"/>
        <v>39.572717874818757</v>
      </c>
      <c r="AA29" s="2">
        <f t="shared" si="7"/>
        <v>45.354150857446328</v>
      </c>
      <c r="AB29" s="2">
        <v>149.88</v>
      </c>
      <c r="AC29" s="2">
        <v>17</v>
      </c>
      <c r="AD29" s="2">
        <v>8</v>
      </c>
      <c r="AE29" s="2">
        <v>13</v>
      </c>
      <c r="AF29" s="2">
        <v>24</v>
      </c>
      <c r="AG29" s="2">
        <v>9</v>
      </c>
    </row>
    <row r="30" spans="1:33" x14ac:dyDescent="0.3">
      <c r="A30" s="2" t="s">
        <v>35</v>
      </c>
      <c r="B30" s="2" t="s">
        <v>121</v>
      </c>
      <c r="C30" s="2" t="s">
        <v>109</v>
      </c>
      <c r="D30" s="2" t="s">
        <v>122</v>
      </c>
      <c r="E30" s="2">
        <v>1999</v>
      </c>
      <c r="F30" s="2">
        <v>134</v>
      </c>
      <c r="G30" s="2">
        <v>61</v>
      </c>
      <c r="H30" s="2">
        <v>21</v>
      </c>
      <c r="I30" s="2">
        <v>32</v>
      </c>
      <c r="J30" s="2">
        <v>46</v>
      </c>
      <c r="K30" s="2">
        <f t="shared" ca="1" si="0"/>
        <v>27</v>
      </c>
      <c r="L30" s="2">
        <v>32</v>
      </c>
      <c r="M30" s="2">
        <v>74</v>
      </c>
      <c r="N30" s="2">
        <v>4867</v>
      </c>
      <c r="O30" s="2">
        <f t="shared" ca="1" si="1"/>
        <v>1.1851851851851851</v>
      </c>
      <c r="P30" s="2">
        <f t="shared" ca="1" si="2"/>
        <v>37.377003869541184</v>
      </c>
      <c r="Q30" s="2">
        <v>14.322699999999999</v>
      </c>
      <c r="R30" s="2">
        <f t="shared" si="3"/>
        <v>47.181119402985075</v>
      </c>
      <c r="S30" s="2">
        <v>32</v>
      </c>
      <c r="T30" s="2">
        <v>68</v>
      </c>
      <c r="U30" s="2">
        <v>123.0312</v>
      </c>
      <c r="V30" s="2">
        <f t="shared" si="4"/>
        <v>62.745505018287965</v>
      </c>
      <c r="W30" s="2">
        <v>10</v>
      </c>
      <c r="X30" s="2">
        <f t="shared" si="5"/>
        <v>46.647615158762406</v>
      </c>
      <c r="Y30" s="2">
        <v>55</v>
      </c>
      <c r="Z30" s="2">
        <f t="shared" si="6"/>
        <v>41.952353926806062</v>
      </c>
      <c r="AA30" s="2">
        <f t="shared" si="7"/>
        <v>53.972200251611014</v>
      </c>
      <c r="AB30" s="2">
        <v>177.6035</v>
      </c>
      <c r="AC30" s="2">
        <v>22</v>
      </c>
      <c r="AD30" s="2">
        <v>11</v>
      </c>
      <c r="AE30" s="2">
        <v>9</v>
      </c>
      <c r="AF30" s="2">
        <v>24</v>
      </c>
      <c r="AG30" s="2">
        <v>13</v>
      </c>
    </row>
    <row r="31" spans="1:33" x14ac:dyDescent="0.3">
      <c r="A31" s="2" t="s">
        <v>35</v>
      </c>
      <c r="B31" s="2" t="s">
        <v>124</v>
      </c>
      <c r="C31" s="2" t="s">
        <v>38</v>
      </c>
      <c r="D31" s="2" t="s">
        <v>125</v>
      </c>
      <c r="E31" s="2">
        <v>2004</v>
      </c>
      <c r="F31" s="2">
        <v>64</v>
      </c>
      <c r="G31" s="2">
        <v>36</v>
      </c>
      <c r="H31" s="2">
        <v>3</v>
      </c>
      <c r="I31" s="2">
        <v>22</v>
      </c>
      <c r="J31" s="2">
        <v>25</v>
      </c>
      <c r="K31" s="2">
        <f t="shared" ca="1" si="0"/>
        <v>22</v>
      </c>
      <c r="L31" s="2">
        <v>26</v>
      </c>
      <c r="M31" s="2">
        <v>36</v>
      </c>
      <c r="N31" s="2">
        <v>3789</v>
      </c>
      <c r="O31" s="2">
        <f t="shared" ca="1" si="1"/>
        <v>1.1818181818181819</v>
      </c>
      <c r="P31" s="2">
        <f t="shared" ca="1" si="2"/>
        <v>56.377840909090907</v>
      </c>
      <c r="Q31" s="2">
        <v>15.4771</v>
      </c>
      <c r="R31" s="2">
        <f t="shared" si="3"/>
        <v>78.714218750000001</v>
      </c>
      <c r="S31" s="2">
        <v>26</v>
      </c>
      <c r="T31" s="2">
        <v>61</v>
      </c>
      <c r="U31" s="2">
        <v>136.5</v>
      </c>
      <c r="V31" s="2">
        <f t="shared" si="4"/>
        <v>59.573484034425917</v>
      </c>
      <c r="W31" s="2">
        <v>9</v>
      </c>
      <c r="X31" s="2">
        <f t="shared" si="5"/>
        <v>39.824615503479755</v>
      </c>
      <c r="Y31" s="2">
        <v>59.5</v>
      </c>
      <c r="Z31" s="2">
        <f t="shared" si="6"/>
        <v>39.331920878594275</v>
      </c>
      <c r="AA31" s="2">
        <f t="shared" si="7"/>
        <v>53.600373133029585</v>
      </c>
      <c r="AB31" s="2">
        <v>140.17490000000001</v>
      </c>
      <c r="AC31" s="2">
        <v>15</v>
      </c>
      <c r="AD31" s="2">
        <v>2</v>
      </c>
      <c r="AE31" s="2">
        <v>0</v>
      </c>
      <c r="AF31" s="2">
        <v>18</v>
      </c>
      <c r="AG31" s="2">
        <v>13</v>
      </c>
    </row>
    <row r="32" spans="1:33" x14ac:dyDescent="0.3">
      <c r="A32" s="2" t="s">
        <v>35</v>
      </c>
      <c r="B32" s="2" t="s">
        <v>1069</v>
      </c>
      <c r="C32" s="2" t="s">
        <v>43</v>
      </c>
      <c r="D32" s="2" t="s">
        <v>1070</v>
      </c>
      <c r="E32" s="2">
        <v>2013</v>
      </c>
      <c r="F32" s="2">
        <v>3</v>
      </c>
      <c r="G32" s="2">
        <v>0</v>
      </c>
      <c r="H32" s="2">
        <v>3</v>
      </c>
      <c r="I32" s="2">
        <v>3</v>
      </c>
      <c r="J32" s="2">
        <v>3</v>
      </c>
      <c r="K32" s="2">
        <f t="shared" ca="1" si="0"/>
        <v>13</v>
      </c>
      <c r="L32" s="2">
        <v>0</v>
      </c>
      <c r="M32" s="2">
        <v>0</v>
      </c>
      <c r="N32" s="2">
        <v>0</v>
      </c>
      <c r="O32" s="2">
        <f t="shared" ca="1" si="1"/>
        <v>0</v>
      </c>
      <c r="P32" s="2">
        <f t="shared" ca="1" si="2"/>
        <v>50</v>
      </c>
      <c r="Q32" s="2">
        <v>0</v>
      </c>
      <c r="R32" s="2">
        <f t="shared" si="3"/>
        <v>50</v>
      </c>
      <c r="S32" s="2">
        <v>0</v>
      </c>
      <c r="T32" s="2">
        <v>0</v>
      </c>
      <c r="U32" s="2">
        <v>0</v>
      </c>
      <c r="V32" s="2">
        <f t="shared" si="4"/>
        <v>0</v>
      </c>
      <c r="W32" s="2">
        <v>0</v>
      </c>
      <c r="X32" s="2">
        <f t="shared" si="5"/>
        <v>0</v>
      </c>
      <c r="Y32" s="2">
        <v>0</v>
      </c>
      <c r="Z32" s="2">
        <f t="shared" si="6"/>
        <v>0</v>
      </c>
      <c r="AA32" s="2">
        <f t="shared" si="7"/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3">
      <c r="A33" s="2" t="s">
        <v>35</v>
      </c>
      <c r="B33" s="2" t="s">
        <v>1071</v>
      </c>
      <c r="C33" s="2" t="s">
        <v>43</v>
      </c>
      <c r="D33" s="2" t="s">
        <v>1072</v>
      </c>
      <c r="E33" s="2">
        <v>2024</v>
      </c>
      <c r="F33" s="2">
        <v>1</v>
      </c>
      <c r="G33" s="2">
        <v>0</v>
      </c>
      <c r="H33" s="2">
        <v>1</v>
      </c>
      <c r="I33" s="2">
        <v>1</v>
      </c>
      <c r="J33" s="2">
        <v>1</v>
      </c>
      <c r="K33" s="2">
        <f t="shared" ca="1" si="0"/>
        <v>2</v>
      </c>
      <c r="L33" s="2">
        <v>0</v>
      </c>
      <c r="M33" s="2">
        <v>0</v>
      </c>
      <c r="N33" s="2">
        <v>0</v>
      </c>
      <c r="O33" s="2">
        <f t="shared" ca="1" si="1"/>
        <v>0</v>
      </c>
      <c r="P33" s="2">
        <f t="shared" ca="1" si="2"/>
        <v>50</v>
      </c>
      <c r="Q33" s="2">
        <v>0</v>
      </c>
      <c r="R33" s="2">
        <f t="shared" si="3"/>
        <v>50</v>
      </c>
      <c r="S33" s="2">
        <v>0</v>
      </c>
      <c r="T33" s="2">
        <v>0</v>
      </c>
      <c r="U33" s="2">
        <v>0</v>
      </c>
      <c r="V33" s="2">
        <f t="shared" si="4"/>
        <v>0</v>
      </c>
      <c r="W33" s="2">
        <v>0</v>
      </c>
      <c r="X33" s="2">
        <f t="shared" si="5"/>
        <v>0</v>
      </c>
      <c r="Y33" s="2">
        <v>0</v>
      </c>
      <c r="Z33" s="2">
        <f t="shared" si="6"/>
        <v>0</v>
      </c>
      <c r="AA33" s="2">
        <f t="shared" si="7"/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 x14ac:dyDescent="0.3">
      <c r="A34" s="2" t="s">
        <v>35</v>
      </c>
      <c r="B34" s="2" t="s">
        <v>127</v>
      </c>
      <c r="C34" s="2" t="s">
        <v>128</v>
      </c>
      <c r="D34" s="2" t="s">
        <v>129</v>
      </c>
      <c r="E34" s="2">
        <v>1970</v>
      </c>
      <c r="F34" s="2">
        <v>817</v>
      </c>
      <c r="G34" s="2">
        <v>262</v>
      </c>
      <c r="H34" s="2">
        <v>178</v>
      </c>
      <c r="I34" s="2">
        <v>99</v>
      </c>
      <c r="J34" s="2">
        <v>230</v>
      </c>
      <c r="K34" s="2">
        <f t="shared" ca="1" si="0"/>
        <v>56</v>
      </c>
      <c r="L34" s="2">
        <v>73</v>
      </c>
      <c r="M34" s="2">
        <v>280</v>
      </c>
      <c r="N34" s="2">
        <v>20385</v>
      </c>
      <c r="O34" s="2">
        <f t="shared" ca="1" si="1"/>
        <v>1.3035714285714286</v>
      </c>
      <c r="P34" s="2">
        <f t="shared" ca="1" si="2"/>
        <v>19.963717433117676</v>
      </c>
      <c r="Q34" s="2">
        <v>45.007899999999999</v>
      </c>
      <c r="R34" s="2">
        <f t="shared" si="3"/>
        <v>25.313084455324358</v>
      </c>
      <c r="S34" s="2">
        <v>73</v>
      </c>
      <c r="T34" s="2">
        <v>125</v>
      </c>
      <c r="U34" s="2">
        <v>176.5342</v>
      </c>
      <c r="V34" s="2">
        <f t="shared" si="4"/>
        <v>113.52090820637403</v>
      </c>
      <c r="W34" s="2">
        <v>15</v>
      </c>
      <c r="X34" s="2">
        <f t="shared" si="5"/>
        <v>95.524865872714003</v>
      </c>
      <c r="Y34" s="2">
        <v>119</v>
      </c>
      <c r="Z34" s="2">
        <f t="shared" si="6"/>
        <v>93.204077164038267</v>
      </c>
      <c r="AA34" s="2">
        <f t="shared" si="7"/>
        <v>86.936739069279568</v>
      </c>
      <c r="AB34" s="2">
        <v>561.38400000000001</v>
      </c>
      <c r="AC34" s="2">
        <v>50</v>
      </c>
      <c r="AD34" s="2">
        <v>17</v>
      </c>
      <c r="AE34" s="2">
        <v>20</v>
      </c>
      <c r="AF34" s="2">
        <v>56</v>
      </c>
      <c r="AG34" s="2">
        <v>35</v>
      </c>
    </row>
    <row r="35" spans="1:33" x14ac:dyDescent="0.3">
      <c r="A35" s="2" t="s">
        <v>35</v>
      </c>
      <c r="B35" s="2" t="s">
        <v>131</v>
      </c>
      <c r="C35" s="2" t="s">
        <v>91</v>
      </c>
      <c r="D35" s="2" t="s">
        <v>132</v>
      </c>
      <c r="E35" s="2">
        <v>1996</v>
      </c>
      <c r="F35" s="2">
        <v>3</v>
      </c>
      <c r="G35" s="2">
        <v>0</v>
      </c>
      <c r="H35" s="2">
        <v>1</v>
      </c>
      <c r="I35" s="2">
        <v>0</v>
      </c>
      <c r="J35" s="2">
        <v>1</v>
      </c>
      <c r="K35" s="2">
        <f t="shared" ca="1" si="0"/>
        <v>30</v>
      </c>
      <c r="L35" s="2">
        <v>1</v>
      </c>
      <c r="M35" s="2">
        <v>0</v>
      </c>
      <c r="N35" s="2">
        <v>2</v>
      </c>
      <c r="O35" s="2">
        <f t="shared" ca="1" si="1"/>
        <v>3.3333333333333333E-2</v>
      </c>
      <c r="P35" s="2">
        <f t="shared" ca="1" si="2"/>
        <v>51.111111111111121</v>
      </c>
      <c r="Q35" s="2">
        <v>0.70709999999999995</v>
      </c>
      <c r="R35" s="2">
        <f t="shared" si="3"/>
        <v>73.570000000000007</v>
      </c>
      <c r="S35" s="2">
        <v>1</v>
      </c>
      <c r="T35" s="2">
        <v>1</v>
      </c>
      <c r="U35" s="2">
        <v>2</v>
      </c>
      <c r="V35" s="2">
        <f t="shared" si="4"/>
        <v>1.4142135623730951</v>
      </c>
      <c r="W35" s="2">
        <v>1</v>
      </c>
      <c r="X35" s="2">
        <f t="shared" si="5"/>
        <v>1</v>
      </c>
      <c r="Y35" s="2">
        <v>2</v>
      </c>
      <c r="Z35" s="2">
        <f t="shared" si="6"/>
        <v>1.4142135623730951</v>
      </c>
      <c r="AA35" s="2">
        <f t="shared" si="7"/>
        <v>1</v>
      </c>
      <c r="AB35" s="2">
        <v>1.4141999999999999</v>
      </c>
      <c r="AC35" s="2">
        <v>0</v>
      </c>
      <c r="AD35" s="2">
        <v>0</v>
      </c>
      <c r="AE35" s="2">
        <v>0</v>
      </c>
      <c r="AF35" s="2">
        <v>1</v>
      </c>
      <c r="AG35" s="2">
        <v>0</v>
      </c>
    </row>
    <row r="36" spans="1:33" x14ac:dyDescent="0.3">
      <c r="A36" s="2" t="s">
        <v>35</v>
      </c>
      <c r="B36" s="2" t="s">
        <v>134</v>
      </c>
      <c r="C36" s="2" t="s">
        <v>109</v>
      </c>
      <c r="D36" s="2" t="s">
        <v>135</v>
      </c>
      <c r="E36" s="2">
        <v>2010</v>
      </c>
      <c r="F36" s="2">
        <v>123</v>
      </c>
      <c r="G36" s="2">
        <v>18</v>
      </c>
      <c r="H36" s="2">
        <v>45</v>
      </c>
      <c r="I36" s="2">
        <v>30</v>
      </c>
      <c r="J36" s="2">
        <v>56</v>
      </c>
      <c r="K36" s="2">
        <f t="shared" ca="1" si="0"/>
        <v>16</v>
      </c>
      <c r="L36" s="2">
        <v>23</v>
      </c>
      <c r="M36" s="2">
        <v>50</v>
      </c>
      <c r="N36" s="2">
        <v>2184</v>
      </c>
      <c r="O36" s="2">
        <f t="shared" ca="1" si="1"/>
        <v>1.4375</v>
      </c>
      <c r="P36" s="2">
        <f t="shared" ca="1" si="2"/>
        <v>41.168699186991873</v>
      </c>
      <c r="Q36" s="2">
        <v>12.76</v>
      </c>
      <c r="R36" s="2">
        <f t="shared" si="3"/>
        <v>50.373983739837399</v>
      </c>
      <c r="S36" s="2">
        <v>24</v>
      </c>
      <c r="T36" s="2">
        <v>44</v>
      </c>
      <c r="U36" s="2">
        <v>67.25</v>
      </c>
      <c r="V36" s="2">
        <f t="shared" si="4"/>
        <v>40.174618853201331</v>
      </c>
      <c r="W36" s="2">
        <v>7</v>
      </c>
      <c r="X36" s="2">
        <f t="shared" si="5"/>
        <v>32.496153618543843</v>
      </c>
      <c r="Y36" s="2">
        <v>39</v>
      </c>
      <c r="Z36" s="2">
        <f t="shared" si="6"/>
        <v>30.594117081556711</v>
      </c>
      <c r="AA36" s="2">
        <f t="shared" si="7"/>
        <v>32.218007387174026</v>
      </c>
      <c r="AB36" s="2">
        <v>108.62779999999999</v>
      </c>
      <c r="AC36" s="2">
        <v>16</v>
      </c>
      <c r="AD36" s="2">
        <v>11</v>
      </c>
      <c r="AE36" s="2">
        <v>9</v>
      </c>
      <c r="AF36" s="2">
        <v>15</v>
      </c>
      <c r="AG36" s="2">
        <v>10</v>
      </c>
    </row>
    <row r="37" spans="1:33" x14ac:dyDescent="0.3">
      <c r="A37" s="2" t="s">
        <v>35</v>
      </c>
      <c r="B37" s="2" t="s">
        <v>137</v>
      </c>
      <c r="C37" s="2" t="s">
        <v>109</v>
      </c>
      <c r="D37" s="2" t="s">
        <v>138</v>
      </c>
      <c r="E37" s="2">
        <v>2012</v>
      </c>
      <c r="F37" s="2">
        <v>62</v>
      </c>
      <c r="G37" s="2">
        <v>24</v>
      </c>
      <c r="H37" s="2">
        <v>27</v>
      </c>
      <c r="I37" s="2">
        <v>15</v>
      </c>
      <c r="J37" s="2">
        <v>30</v>
      </c>
      <c r="K37" s="2">
        <f t="shared" ca="1" si="0"/>
        <v>14</v>
      </c>
      <c r="L37" s="2">
        <v>12</v>
      </c>
      <c r="M37" s="2">
        <v>16</v>
      </c>
      <c r="N37" s="2">
        <v>425</v>
      </c>
      <c r="O37" s="2">
        <f t="shared" ca="1" si="1"/>
        <v>0.8571428571428571</v>
      </c>
      <c r="P37" s="2">
        <f t="shared" ca="1" si="2"/>
        <v>41.059907834101381</v>
      </c>
      <c r="Q37" s="2">
        <v>7.0442</v>
      </c>
      <c r="R37" s="2">
        <f t="shared" si="3"/>
        <v>51.039032258064516</v>
      </c>
      <c r="S37" s="2">
        <v>12</v>
      </c>
      <c r="T37" s="2">
        <v>19</v>
      </c>
      <c r="U37" s="2">
        <v>26.583300000000001</v>
      </c>
      <c r="V37" s="2">
        <f t="shared" si="4"/>
        <v>17.860559901638023</v>
      </c>
      <c r="W37" s="2">
        <v>4</v>
      </c>
      <c r="X37" s="2">
        <f t="shared" si="5"/>
        <v>15.0996688705415</v>
      </c>
      <c r="Y37" s="2">
        <v>17</v>
      </c>
      <c r="Z37" s="2">
        <f t="shared" si="6"/>
        <v>14.282856857085701</v>
      </c>
      <c r="AA37" s="2">
        <f t="shared" si="7"/>
        <v>13.228741436735392</v>
      </c>
      <c r="AB37" s="2">
        <v>37.51</v>
      </c>
      <c r="AC37" s="2">
        <v>8</v>
      </c>
      <c r="AD37" s="2">
        <v>3</v>
      </c>
      <c r="AE37" s="2">
        <v>0</v>
      </c>
      <c r="AF37" s="2">
        <v>9</v>
      </c>
      <c r="AG37" s="2">
        <v>7</v>
      </c>
    </row>
    <row r="38" spans="1:33" x14ac:dyDescent="0.3">
      <c r="A38" s="2" t="s">
        <v>35</v>
      </c>
      <c r="B38" s="2" t="s">
        <v>140</v>
      </c>
      <c r="C38" s="2" t="s">
        <v>43</v>
      </c>
      <c r="D38" s="2" t="s">
        <v>141</v>
      </c>
      <c r="E38" s="2">
        <v>2010</v>
      </c>
      <c r="F38" s="2">
        <v>12</v>
      </c>
      <c r="G38" s="2">
        <v>0</v>
      </c>
      <c r="H38" s="2">
        <v>10</v>
      </c>
      <c r="I38" s="2">
        <v>10</v>
      </c>
      <c r="J38" s="2">
        <v>10</v>
      </c>
      <c r="K38" s="2">
        <f t="shared" ca="1" si="0"/>
        <v>16</v>
      </c>
      <c r="L38" s="2">
        <v>1</v>
      </c>
      <c r="M38" s="2">
        <v>0</v>
      </c>
      <c r="N38" s="2">
        <v>1</v>
      </c>
      <c r="O38" s="2">
        <f t="shared" ca="1" si="1"/>
        <v>6.25E-2</v>
      </c>
      <c r="P38" s="2">
        <f t="shared" ca="1" si="2"/>
        <v>50.520833333333336</v>
      </c>
      <c r="Q38" s="2">
        <v>0.30149999999999999</v>
      </c>
      <c r="R38" s="2">
        <f t="shared" si="3"/>
        <v>52.512500000000003</v>
      </c>
      <c r="S38" s="2">
        <v>1</v>
      </c>
      <c r="T38" s="2">
        <v>1</v>
      </c>
      <c r="U38" s="2">
        <v>1</v>
      </c>
      <c r="V38" s="2">
        <f t="shared" si="4"/>
        <v>1</v>
      </c>
      <c r="W38" s="2">
        <v>1</v>
      </c>
      <c r="X38" s="2">
        <f t="shared" si="5"/>
        <v>1</v>
      </c>
      <c r="Y38" s="2">
        <v>1</v>
      </c>
      <c r="Z38" s="2">
        <f t="shared" si="6"/>
        <v>1</v>
      </c>
      <c r="AA38" s="2">
        <f t="shared" si="7"/>
        <v>0</v>
      </c>
      <c r="AB38" s="2">
        <v>1</v>
      </c>
      <c r="AC38" s="2">
        <v>1</v>
      </c>
      <c r="AD38" s="2">
        <v>0</v>
      </c>
      <c r="AE38" s="2">
        <v>0</v>
      </c>
      <c r="AF38" s="2">
        <v>0</v>
      </c>
      <c r="AG38" s="2">
        <v>1</v>
      </c>
    </row>
    <row r="39" spans="1:33" x14ac:dyDescent="0.3">
      <c r="A39" s="2" t="s">
        <v>35</v>
      </c>
      <c r="B39" s="2" t="s">
        <v>143</v>
      </c>
      <c r="C39" s="2" t="s">
        <v>91</v>
      </c>
      <c r="D39" s="2" t="s">
        <v>144</v>
      </c>
      <c r="E39" s="2">
        <v>2019</v>
      </c>
      <c r="F39" s="2">
        <v>16</v>
      </c>
      <c r="G39" s="2">
        <v>1</v>
      </c>
      <c r="H39" s="2">
        <v>10</v>
      </c>
      <c r="I39" s="2">
        <v>2</v>
      </c>
      <c r="J39" s="2">
        <v>11</v>
      </c>
      <c r="K39" s="2">
        <f t="shared" ca="1" si="0"/>
        <v>7</v>
      </c>
      <c r="L39" s="2">
        <v>7</v>
      </c>
      <c r="M39" s="2">
        <v>6</v>
      </c>
      <c r="N39" s="2">
        <v>131</v>
      </c>
      <c r="O39" s="2">
        <f t="shared" ca="1" si="1"/>
        <v>1</v>
      </c>
      <c r="P39" s="2">
        <f t="shared" ca="1" si="2"/>
        <v>83.75</v>
      </c>
      <c r="Q39" s="2">
        <v>5.0743999999999998</v>
      </c>
      <c r="R39" s="2">
        <f t="shared" si="3"/>
        <v>109.21499999999999</v>
      </c>
      <c r="S39" s="2">
        <v>7</v>
      </c>
      <c r="T39" s="2">
        <v>11</v>
      </c>
      <c r="U39" s="2">
        <v>15.857100000000001</v>
      </c>
      <c r="V39" s="2">
        <f t="shared" si="4"/>
        <v>10.535639515473182</v>
      </c>
      <c r="W39" s="2">
        <v>3</v>
      </c>
      <c r="X39" s="2">
        <f t="shared" si="5"/>
        <v>8.7749643873921226</v>
      </c>
      <c r="Y39" s="2">
        <v>11</v>
      </c>
      <c r="Z39" s="2">
        <f t="shared" si="6"/>
        <v>8.7749643873921226</v>
      </c>
      <c r="AA39" s="2">
        <f t="shared" si="7"/>
        <v>7.8739888239697171</v>
      </c>
      <c r="AB39" s="2">
        <v>18.5472</v>
      </c>
      <c r="AC39" s="2">
        <v>6</v>
      </c>
      <c r="AD39" s="2">
        <v>6</v>
      </c>
      <c r="AE39" s="2">
        <v>2</v>
      </c>
      <c r="AF39" s="2">
        <v>1</v>
      </c>
      <c r="AG39" s="2">
        <v>1</v>
      </c>
    </row>
    <row r="40" spans="1:33" x14ac:dyDescent="0.3">
      <c r="A40" s="2" t="s">
        <v>35</v>
      </c>
      <c r="B40" s="2" t="s">
        <v>146</v>
      </c>
      <c r="C40" s="2" t="s">
        <v>43</v>
      </c>
      <c r="D40" s="2" t="s">
        <v>147</v>
      </c>
      <c r="E40" s="2">
        <v>2014</v>
      </c>
      <c r="F40" s="2">
        <v>1</v>
      </c>
      <c r="G40" s="2">
        <v>0</v>
      </c>
      <c r="H40" s="2">
        <v>1</v>
      </c>
      <c r="I40" s="2">
        <v>1</v>
      </c>
      <c r="J40" s="2">
        <v>1</v>
      </c>
      <c r="K40" s="2">
        <f t="shared" ca="1" si="0"/>
        <v>12</v>
      </c>
      <c r="L40" s="2">
        <v>1</v>
      </c>
      <c r="M40" s="2">
        <v>0</v>
      </c>
      <c r="N40" s="2">
        <v>1</v>
      </c>
      <c r="O40" s="2">
        <f t="shared" ca="1" si="1"/>
        <v>8.3333333333333329E-2</v>
      </c>
      <c r="P40" s="2">
        <f t="shared" ca="1" si="2"/>
        <v>158.33333333333331</v>
      </c>
      <c r="Q40" s="2">
        <v>0.27739999999999998</v>
      </c>
      <c r="R40" s="2">
        <f t="shared" si="3"/>
        <v>177.74</v>
      </c>
      <c r="S40" s="2">
        <v>1</v>
      </c>
      <c r="T40" s="2">
        <v>1</v>
      </c>
      <c r="U40" s="2">
        <v>1</v>
      </c>
      <c r="V40" s="2">
        <f t="shared" si="4"/>
        <v>1</v>
      </c>
      <c r="W40" s="2">
        <v>1</v>
      </c>
      <c r="X40" s="2">
        <f t="shared" si="5"/>
        <v>1</v>
      </c>
      <c r="Y40" s="2">
        <v>1</v>
      </c>
      <c r="Z40" s="2">
        <f t="shared" si="6"/>
        <v>1</v>
      </c>
      <c r="AA40" s="2">
        <f t="shared" si="7"/>
        <v>0</v>
      </c>
      <c r="AB40" s="2">
        <v>1</v>
      </c>
      <c r="AC40" s="2">
        <v>1</v>
      </c>
      <c r="AD40" s="2">
        <v>0</v>
      </c>
      <c r="AE40" s="2">
        <v>0</v>
      </c>
      <c r="AF40" s="2">
        <v>0</v>
      </c>
      <c r="AG40" s="2">
        <v>1</v>
      </c>
    </row>
    <row r="41" spans="1:33" x14ac:dyDescent="0.3">
      <c r="A41" s="2" t="s">
        <v>35</v>
      </c>
      <c r="B41" s="2" t="s">
        <v>149</v>
      </c>
      <c r="C41" s="2" t="s">
        <v>150</v>
      </c>
      <c r="D41" s="2" t="s">
        <v>151</v>
      </c>
      <c r="E41" s="2">
        <v>2003</v>
      </c>
      <c r="F41" s="2">
        <v>104</v>
      </c>
      <c r="G41" s="2">
        <v>44</v>
      </c>
      <c r="H41" s="2">
        <v>27</v>
      </c>
      <c r="I41" s="2">
        <v>2</v>
      </c>
      <c r="J41" s="2">
        <v>27</v>
      </c>
      <c r="K41" s="2">
        <f t="shared" ca="1" si="0"/>
        <v>23</v>
      </c>
      <c r="L41" s="2">
        <v>30</v>
      </c>
      <c r="M41" s="2">
        <v>47</v>
      </c>
      <c r="N41" s="2">
        <v>6658</v>
      </c>
      <c r="O41" s="2">
        <f t="shared" ca="1" si="1"/>
        <v>1.3043478260869565</v>
      </c>
      <c r="P41" s="2">
        <f t="shared" ca="1" si="2"/>
        <v>38.850334448160531</v>
      </c>
      <c r="Q41" s="2">
        <v>22.702500000000001</v>
      </c>
      <c r="R41" s="2">
        <f t="shared" si="3"/>
        <v>59.425480769230774</v>
      </c>
      <c r="S41" s="2">
        <v>30</v>
      </c>
      <c r="T41" s="2">
        <v>81</v>
      </c>
      <c r="U41" s="2">
        <v>209.26669999999999</v>
      </c>
      <c r="V41" s="2">
        <f t="shared" si="4"/>
        <v>79.233837468596704</v>
      </c>
      <c r="W41" s="2">
        <v>11</v>
      </c>
      <c r="X41" s="2">
        <f t="shared" si="5"/>
        <v>49.295030175464952</v>
      </c>
      <c r="Y41" s="2">
        <v>116.5</v>
      </c>
      <c r="Z41" s="2">
        <f t="shared" si="6"/>
        <v>59.11852501542981</v>
      </c>
      <c r="AA41" s="2">
        <f t="shared" si="7"/>
        <v>73.334855287237048</v>
      </c>
      <c r="AB41" s="2">
        <v>211.6199</v>
      </c>
      <c r="AC41" s="2">
        <v>21</v>
      </c>
      <c r="AD41" s="2">
        <v>12</v>
      </c>
      <c r="AE41" s="2">
        <v>7</v>
      </c>
      <c r="AF41" s="2">
        <v>21</v>
      </c>
      <c r="AG41" s="2">
        <v>1</v>
      </c>
    </row>
    <row r="42" spans="1:33" x14ac:dyDescent="0.3">
      <c r="A42" s="2" t="s">
        <v>35</v>
      </c>
      <c r="B42" s="2" t="s">
        <v>153</v>
      </c>
      <c r="C42" s="2" t="s">
        <v>74</v>
      </c>
      <c r="D42" s="2" t="s">
        <v>154</v>
      </c>
      <c r="E42" s="2">
        <v>1972</v>
      </c>
      <c r="F42" s="2">
        <v>77</v>
      </c>
      <c r="G42" s="2">
        <v>9</v>
      </c>
      <c r="H42" s="2">
        <v>26</v>
      </c>
      <c r="I42" s="2">
        <v>31</v>
      </c>
      <c r="J42" s="2">
        <v>45</v>
      </c>
      <c r="K42" s="2">
        <f t="shared" ca="1" si="0"/>
        <v>54</v>
      </c>
      <c r="L42" s="2">
        <v>23</v>
      </c>
      <c r="M42" s="2">
        <v>33</v>
      </c>
      <c r="N42" s="2">
        <v>2168</v>
      </c>
      <c r="O42" s="2">
        <f t="shared" ca="1" si="1"/>
        <v>0.42592592592592593</v>
      </c>
      <c r="P42" s="2">
        <f t="shared" ca="1" si="2"/>
        <v>58.475228475228477</v>
      </c>
      <c r="Q42" s="2">
        <v>12.8291</v>
      </c>
      <c r="R42" s="2">
        <f t="shared" si="3"/>
        <v>74.583246753246755</v>
      </c>
      <c r="S42" s="2">
        <v>23</v>
      </c>
      <c r="T42" s="2">
        <v>46</v>
      </c>
      <c r="U42" s="2">
        <v>84.956500000000005</v>
      </c>
      <c r="V42" s="2">
        <f t="shared" si="4"/>
        <v>44.204066555012787</v>
      </c>
      <c r="W42" s="2">
        <v>8</v>
      </c>
      <c r="X42" s="2">
        <f t="shared" si="5"/>
        <v>32.526911934581186</v>
      </c>
      <c r="Y42" s="2">
        <v>48</v>
      </c>
      <c r="Z42" s="2">
        <f t="shared" si="6"/>
        <v>33.226495451672299</v>
      </c>
      <c r="AA42" s="2">
        <f t="shared" si="7"/>
        <v>37.749165553691384</v>
      </c>
      <c r="AB42" s="2">
        <v>113.1238</v>
      </c>
      <c r="AC42" s="2">
        <v>20</v>
      </c>
      <c r="AD42" s="2">
        <v>5</v>
      </c>
      <c r="AE42" s="2">
        <v>0</v>
      </c>
      <c r="AF42" s="2">
        <v>9</v>
      </c>
      <c r="AG42" s="2">
        <v>16</v>
      </c>
    </row>
    <row r="43" spans="1:33" x14ac:dyDescent="0.3">
      <c r="A43" s="2" t="s">
        <v>35</v>
      </c>
      <c r="B43" s="2" t="s">
        <v>156</v>
      </c>
      <c r="C43" s="2" t="s">
        <v>67</v>
      </c>
      <c r="D43" s="2" t="s">
        <v>157</v>
      </c>
      <c r="E43" s="2">
        <v>2001</v>
      </c>
      <c r="F43" s="2">
        <v>3</v>
      </c>
      <c r="G43" s="2">
        <v>1</v>
      </c>
      <c r="H43" s="2">
        <v>1</v>
      </c>
      <c r="I43" s="2">
        <v>1</v>
      </c>
      <c r="J43" s="2">
        <v>1</v>
      </c>
      <c r="K43" s="2">
        <f t="shared" ca="1" si="0"/>
        <v>25</v>
      </c>
      <c r="L43" s="2">
        <v>1</v>
      </c>
      <c r="M43" s="2">
        <v>0</v>
      </c>
      <c r="N43" s="2">
        <v>6</v>
      </c>
      <c r="O43" s="2">
        <f t="shared" ca="1" si="1"/>
        <v>0.04</v>
      </c>
      <c r="P43" s="2">
        <f t="shared" ca="1" si="2"/>
        <v>48</v>
      </c>
      <c r="Q43" s="2">
        <v>0.4385</v>
      </c>
      <c r="R43" s="2">
        <f t="shared" si="3"/>
        <v>61.283333333333331</v>
      </c>
      <c r="S43" s="2">
        <v>1</v>
      </c>
      <c r="T43" s="2">
        <v>2</v>
      </c>
      <c r="U43" s="2">
        <v>5</v>
      </c>
      <c r="V43" s="2">
        <f t="shared" si="4"/>
        <v>2.2360679774997898</v>
      </c>
      <c r="W43" s="2">
        <v>1</v>
      </c>
      <c r="X43" s="2">
        <f t="shared" si="5"/>
        <v>1.4142135623730951</v>
      </c>
      <c r="Y43" s="2">
        <v>5</v>
      </c>
      <c r="Z43" s="2">
        <f t="shared" si="6"/>
        <v>2.2360679774997898</v>
      </c>
      <c r="AA43" s="2">
        <f t="shared" si="7"/>
        <v>2</v>
      </c>
      <c r="AB43" s="2">
        <v>2.2361</v>
      </c>
      <c r="AC43" s="2">
        <v>1</v>
      </c>
      <c r="AD43" s="2">
        <v>0</v>
      </c>
      <c r="AE43" s="2">
        <v>1</v>
      </c>
      <c r="AF43" s="2">
        <v>0</v>
      </c>
      <c r="AG43" s="2">
        <v>1</v>
      </c>
    </row>
    <row r="44" spans="1:33" x14ac:dyDescent="0.3">
      <c r="A44" s="2" t="s">
        <v>35</v>
      </c>
      <c r="B44" s="2" t="s">
        <v>159</v>
      </c>
      <c r="C44" s="2" t="s">
        <v>38</v>
      </c>
      <c r="D44" s="2" t="s">
        <v>160</v>
      </c>
      <c r="E44" s="2">
        <v>1988</v>
      </c>
      <c r="F44" s="2">
        <v>1698</v>
      </c>
      <c r="G44" s="2">
        <v>918</v>
      </c>
      <c r="H44" s="2">
        <v>267</v>
      </c>
      <c r="I44" s="2">
        <v>357</v>
      </c>
      <c r="J44" s="2">
        <v>516</v>
      </c>
      <c r="K44" s="2">
        <f t="shared" ca="1" si="0"/>
        <v>38</v>
      </c>
      <c r="L44" s="2">
        <v>70</v>
      </c>
      <c r="M44" s="2">
        <v>202</v>
      </c>
      <c r="N44" s="2">
        <v>15289</v>
      </c>
      <c r="O44" s="2">
        <f t="shared" ca="1" si="1"/>
        <v>1.8421052631578947</v>
      </c>
      <c r="P44" s="2">
        <f t="shared" ca="1" si="2"/>
        <v>14.018969685698345</v>
      </c>
      <c r="Q44" s="2">
        <v>34.854599999999998</v>
      </c>
      <c r="R44" s="2">
        <f t="shared" si="3"/>
        <v>15.96316843345112</v>
      </c>
      <c r="S44" s="2">
        <v>119</v>
      </c>
      <c r="T44" s="2">
        <v>168</v>
      </c>
      <c r="U44" s="2">
        <v>195.33609999999999</v>
      </c>
      <c r="V44" s="2">
        <f t="shared" si="4"/>
        <v>152.46309684641722</v>
      </c>
      <c r="W44" s="2">
        <v>18</v>
      </c>
      <c r="X44" s="2">
        <f t="shared" si="5"/>
        <v>141.39306913706909</v>
      </c>
      <c r="Y44" s="2">
        <v>163</v>
      </c>
      <c r="Z44" s="2">
        <f t="shared" si="6"/>
        <v>139.27311298308803</v>
      </c>
      <c r="AA44" s="2">
        <f t="shared" si="7"/>
        <v>95.309998950792135</v>
      </c>
      <c r="AB44" s="2">
        <v>1041.4466</v>
      </c>
      <c r="AC44" s="2">
        <v>90</v>
      </c>
      <c r="AD44" s="2">
        <v>12</v>
      </c>
      <c r="AE44" s="2">
        <v>30</v>
      </c>
      <c r="AF44" s="2">
        <v>81</v>
      </c>
      <c r="AG44" s="2">
        <v>88</v>
      </c>
    </row>
    <row r="45" spans="1:33" x14ac:dyDescent="0.3">
      <c r="A45" s="2" t="s">
        <v>35</v>
      </c>
      <c r="B45" s="2" t="s">
        <v>162</v>
      </c>
      <c r="C45" s="2" t="s">
        <v>91</v>
      </c>
      <c r="D45" s="2" t="s">
        <v>163</v>
      </c>
      <c r="E45" s="2">
        <v>2003</v>
      </c>
      <c r="F45" s="2">
        <v>73</v>
      </c>
      <c r="G45" s="2">
        <v>21</v>
      </c>
      <c r="H45" s="2">
        <v>22</v>
      </c>
      <c r="I45" s="2">
        <v>9</v>
      </c>
      <c r="J45" s="2">
        <v>24</v>
      </c>
      <c r="K45" s="2">
        <f t="shared" ca="1" si="0"/>
        <v>23</v>
      </c>
      <c r="L45" s="2">
        <v>12</v>
      </c>
      <c r="M45" s="2">
        <v>14</v>
      </c>
      <c r="N45" s="2">
        <v>503</v>
      </c>
      <c r="O45" s="2">
        <f t="shared" ca="1" si="1"/>
        <v>0.52173913043478259</v>
      </c>
      <c r="P45" s="2">
        <f t="shared" ca="1" si="2"/>
        <v>30.71471113758189</v>
      </c>
      <c r="Q45" s="2">
        <v>5.3566000000000003</v>
      </c>
      <c r="R45" s="2">
        <f t="shared" si="3"/>
        <v>37.337808219178079</v>
      </c>
      <c r="S45" s="2">
        <v>12</v>
      </c>
      <c r="T45" s="2">
        <v>20</v>
      </c>
      <c r="U45" s="2">
        <v>29.166699999999999</v>
      </c>
      <c r="V45" s="2">
        <f t="shared" si="4"/>
        <v>18.70829762431633</v>
      </c>
      <c r="W45" s="2">
        <v>5</v>
      </c>
      <c r="X45" s="2">
        <f t="shared" si="5"/>
        <v>15.491933384829668</v>
      </c>
      <c r="Y45" s="2">
        <v>26.5</v>
      </c>
      <c r="Z45" s="2">
        <f t="shared" si="6"/>
        <v>17.832554500127006</v>
      </c>
      <c r="AA45" s="2">
        <f t="shared" si="7"/>
        <v>14.352714029060845</v>
      </c>
      <c r="AB45" s="2">
        <v>40.224400000000003</v>
      </c>
      <c r="AC45" s="2">
        <v>8</v>
      </c>
      <c r="AD45" s="2">
        <v>5</v>
      </c>
      <c r="AE45" s="2">
        <v>6</v>
      </c>
      <c r="AF45" s="2">
        <v>8</v>
      </c>
      <c r="AG45" s="2">
        <v>2</v>
      </c>
    </row>
    <row r="46" spans="1:33" x14ac:dyDescent="0.3">
      <c r="A46" s="2" t="s">
        <v>35</v>
      </c>
      <c r="B46" s="2" t="s">
        <v>165</v>
      </c>
      <c r="C46" s="2" t="s">
        <v>67</v>
      </c>
      <c r="D46" s="2" t="s">
        <v>166</v>
      </c>
      <c r="E46" s="2">
        <v>1999</v>
      </c>
      <c r="F46" s="2">
        <v>49</v>
      </c>
      <c r="G46" s="2">
        <v>28</v>
      </c>
      <c r="H46" s="2">
        <v>14</v>
      </c>
      <c r="I46" s="2">
        <v>12</v>
      </c>
      <c r="J46" s="2">
        <v>21</v>
      </c>
      <c r="K46" s="2">
        <f t="shared" ca="1" si="0"/>
        <v>27</v>
      </c>
      <c r="L46" s="2">
        <v>17</v>
      </c>
      <c r="M46" s="2">
        <v>21</v>
      </c>
      <c r="N46" s="2">
        <v>1436</v>
      </c>
      <c r="O46" s="2">
        <f t="shared" ca="1" si="1"/>
        <v>0.62962962962962965</v>
      </c>
      <c r="P46" s="2">
        <f t="shared" ca="1" si="2"/>
        <v>51.693121693121697</v>
      </c>
      <c r="Q46" s="2">
        <v>12.4466</v>
      </c>
      <c r="R46" s="2">
        <f t="shared" si="3"/>
        <v>75.809387755102037</v>
      </c>
      <c r="S46" s="2">
        <v>17</v>
      </c>
      <c r="T46" s="2">
        <v>37</v>
      </c>
      <c r="U46" s="2">
        <v>78.647099999999995</v>
      </c>
      <c r="V46" s="2">
        <f t="shared" si="4"/>
        <v>36.565020169555488</v>
      </c>
      <c r="W46" s="2">
        <v>6</v>
      </c>
      <c r="X46" s="2">
        <f t="shared" si="5"/>
        <v>25.079872407968907</v>
      </c>
      <c r="Y46" s="2">
        <v>38</v>
      </c>
      <c r="Z46" s="2">
        <f t="shared" si="6"/>
        <v>25.416530054277668</v>
      </c>
      <c r="AA46" s="2">
        <f t="shared" si="7"/>
        <v>32.372838924011589</v>
      </c>
      <c r="AB46" s="2">
        <v>75.881500000000003</v>
      </c>
      <c r="AC46" s="2">
        <v>13</v>
      </c>
      <c r="AD46" s="2">
        <v>4</v>
      </c>
      <c r="AE46" s="2">
        <v>3</v>
      </c>
      <c r="AF46" s="2">
        <v>10</v>
      </c>
      <c r="AG46" s="2">
        <v>5</v>
      </c>
    </row>
    <row r="47" spans="1:33" x14ac:dyDescent="0.3">
      <c r="A47" s="2" t="s">
        <v>35</v>
      </c>
      <c r="B47" s="2" t="s">
        <v>168</v>
      </c>
      <c r="C47" s="2" t="s">
        <v>109</v>
      </c>
      <c r="D47" s="2" t="s">
        <v>169</v>
      </c>
      <c r="E47" s="2">
        <v>2010</v>
      </c>
      <c r="F47" s="2">
        <v>28</v>
      </c>
      <c r="G47" s="2">
        <v>11</v>
      </c>
      <c r="H47" s="2">
        <v>11</v>
      </c>
      <c r="I47" s="2">
        <v>2</v>
      </c>
      <c r="J47" s="2">
        <v>11</v>
      </c>
      <c r="K47" s="2">
        <f t="shared" ca="1" si="0"/>
        <v>16</v>
      </c>
      <c r="L47" s="2">
        <v>7</v>
      </c>
      <c r="M47" s="2">
        <v>6</v>
      </c>
      <c r="N47" s="2">
        <v>177</v>
      </c>
      <c r="O47" s="2">
        <f t="shared" ca="1" si="1"/>
        <v>0.4375</v>
      </c>
      <c r="P47" s="2">
        <f t="shared" ca="1" si="2"/>
        <v>42.276785714285715</v>
      </c>
      <c r="Q47" s="2">
        <v>5.1896000000000004</v>
      </c>
      <c r="R47" s="2">
        <f t="shared" si="3"/>
        <v>59.248571428571438</v>
      </c>
      <c r="S47" s="2">
        <v>7</v>
      </c>
      <c r="T47" s="2">
        <v>13</v>
      </c>
      <c r="U47" s="2">
        <v>20.857099999999999</v>
      </c>
      <c r="V47" s="2">
        <f t="shared" si="4"/>
        <v>12.083033559499865</v>
      </c>
      <c r="W47" s="2">
        <v>4</v>
      </c>
      <c r="X47" s="2">
        <f t="shared" si="5"/>
        <v>9.5393920141694561</v>
      </c>
      <c r="Y47" s="2">
        <v>16</v>
      </c>
      <c r="Z47" s="2">
        <f t="shared" si="6"/>
        <v>10.583005244258363</v>
      </c>
      <c r="AA47" s="2">
        <f t="shared" si="7"/>
        <v>9.8488425715918506</v>
      </c>
      <c r="AB47" s="2">
        <v>20.049900000000001</v>
      </c>
      <c r="AC47" s="2">
        <v>5</v>
      </c>
      <c r="AD47" s="2">
        <v>3</v>
      </c>
      <c r="AE47" s="2">
        <v>4</v>
      </c>
      <c r="AF47" s="2">
        <v>3</v>
      </c>
      <c r="AG47" s="2">
        <v>1</v>
      </c>
    </row>
    <row r="48" spans="1:33" x14ac:dyDescent="0.3">
      <c r="A48" s="2" t="s">
        <v>35</v>
      </c>
      <c r="B48" s="2" t="s">
        <v>171</v>
      </c>
      <c r="C48" s="2" t="s">
        <v>99</v>
      </c>
      <c r="D48" s="2" t="s">
        <v>172</v>
      </c>
      <c r="E48" s="2">
        <v>1967</v>
      </c>
      <c r="F48" s="2">
        <v>91</v>
      </c>
      <c r="G48" s="2">
        <v>43</v>
      </c>
      <c r="H48" s="2">
        <v>23</v>
      </c>
      <c r="I48" s="2">
        <v>13</v>
      </c>
      <c r="J48" s="2">
        <v>30</v>
      </c>
      <c r="K48" s="2">
        <f t="shared" ca="1" si="0"/>
        <v>59</v>
      </c>
      <c r="L48" s="2">
        <v>17</v>
      </c>
      <c r="M48" s="2">
        <v>22</v>
      </c>
      <c r="N48" s="2">
        <v>2988</v>
      </c>
      <c r="O48" s="2">
        <f t="shared" ca="1" si="1"/>
        <v>0.28813559322033899</v>
      </c>
      <c r="P48" s="2">
        <f t="shared" ca="1" si="2"/>
        <v>30.756192959582791</v>
      </c>
      <c r="Q48" s="2">
        <v>22.241299999999999</v>
      </c>
      <c r="R48" s="2">
        <f t="shared" si="3"/>
        <v>54.880549450549452</v>
      </c>
      <c r="S48" s="2">
        <v>17</v>
      </c>
      <c r="T48" s="2">
        <v>54</v>
      </c>
      <c r="U48" s="2">
        <v>161.11760000000001</v>
      </c>
      <c r="V48" s="2">
        <f t="shared" si="4"/>
        <v>52.33544878951551</v>
      </c>
      <c r="W48" s="2">
        <v>7</v>
      </c>
      <c r="X48" s="2">
        <f t="shared" si="5"/>
        <v>30.298514815086232</v>
      </c>
      <c r="Y48" s="2">
        <v>32</v>
      </c>
      <c r="Z48" s="2">
        <f t="shared" si="6"/>
        <v>23.323807579381203</v>
      </c>
      <c r="AA48" s="2">
        <f t="shared" si="7"/>
        <v>49.49746660183731</v>
      </c>
      <c r="AB48" s="2">
        <v>87.441400000000002</v>
      </c>
      <c r="AC48" s="2">
        <v>11</v>
      </c>
      <c r="AD48" s="2">
        <v>4</v>
      </c>
      <c r="AE48" s="2">
        <v>5</v>
      </c>
      <c r="AF48" s="2">
        <v>14</v>
      </c>
      <c r="AG48" s="2">
        <v>7</v>
      </c>
    </row>
    <row r="49" spans="1:33" x14ac:dyDescent="0.3">
      <c r="A49" s="2" t="s">
        <v>35</v>
      </c>
      <c r="B49" s="2" t="s">
        <v>174</v>
      </c>
      <c r="C49" s="2" t="s">
        <v>38</v>
      </c>
      <c r="D49" s="2" t="s">
        <v>175</v>
      </c>
      <c r="E49" s="2">
        <v>1985</v>
      </c>
      <c r="F49" s="2">
        <v>90</v>
      </c>
      <c r="G49" s="2">
        <v>36</v>
      </c>
      <c r="H49" s="2">
        <v>17</v>
      </c>
      <c r="I49" s="2">
        <v>37</v>
      </c>
      <c r="J49" s="2">
        <v>51</v>
      </c>
      <c r="K49" s="2">
        <f t="shared" ca="1" si="0"/>
        <v>41</v>
      </c>
      <c r="L49" s="2">
        <v>34</v>
      </c>
      <c r="M49" s="2">
        <v>68</v>
      </c>
      <c r="N49" s="2">
        <v>3078</v>
      </c>
      <c r="O49" s="2">
        <f t="shared" ca="1" si="1"/>
        <v>0.82926829268292679</v>
      </c>
      <c r="P49" s="2">
        <f t="shared" ca="1" si="2"/>
        <v>63.032520325203251</v>
      </c>
      <c r="Q49" s="2">
        <v>12.4518</v>
      </c>
      <c r="R49" s="2">
        <f t="shared" si="3"/>
        <v>75.946444444444438</v>
      </c>
      <c r="S49" s="2">
        <v>34</v>
      </c>
      <c r="T49" s="2">
        <v>53</v>
      </c>
      <c r="U49" s="2">
        <v>68.235299999999995</v>
      </c>
      <c r="V49" s="2">
        <f t="shared" si="4"/>
        <v>48.166380391306134</v>
      </c>
      <c r="W49" s="2">
        <v>8</v>
      </c>
      <c r="X49" s="2">
        <f t="shared" si="5"/>
        <v>42.449970553582247</v>
      </c>
      <c r="Y49" s="2">
        <v>54.5</v>
      </c>
      <c r="Z49" s="2">
        <f t="shared" si="6"/>
        <v>43.046486500061768</v>
      </c>
      <c r="AA49" s="2">
        <f t="shared" si="7"/>
        <v>34.117447149515741</v>
      </c>
      <c r="AB49" s="2">
        <v>170.06180000000001</v>
      </c>
      <c r="AC49" s="2">
        <v>26</v>
      </c>
      <c r="AD49" s="2">
        <v>10</v>
      </c>
      <c r="AE49" s="2">
        <v>10</v>
      </c>
      <c r="AF49" s="2">
        <v>16</v>
      </c>
      <c r="AG49" s="2">
        <v>19</v>
      </c>
    </row>
    <row r="50" spans="1:33" x14ac:dyDescent="0.3">
      <c r="A50" s="2" t="s">
        <v>35</v>
      </c>
      <c r="B50" s="2" t="s">
        <v>177</v>
      </c>
      <c r="C50" s="2" t="s">
        <v>62</v>
      </c>
      <c r="D50" s="2" t="s">
        <v>178</v>
      </c>
      <c r="E50" s="2">
        <v>2013</v>
      </c>
      <c r="F50" s="2">
        <v>5</v>
      </c>
      <c r="G50" s="2">
        <v>1</v>
      </c>
      <c r="H50" s="2">
        <v>1</v>
      </c>
      <c r="I50" s="2">
        <v>0</v>
      </c>
      <c r="J50" s="2">
        <v>1</v>
      </c>
      <c r="K50" s="2">
        <f t="shared" ca="1" si="0"/>
        <v>13</v>
      </c>
      <c r="L50" s="2">
        <v>2</v>
      </c>
      <c r="M50" s="2">
        <v>0</v>
      </c>
      <c r="N50" s="2">
        <v>11</v>
      </c>
      <c r="O50" s="2">
        <f t="shared" ca="1" si="1"/>
        <v>0.15384615384615385</v>
      </c>
      <c r="P50" s="2">
        <f t="shared" ca="1" si="2"/>
        <v>51.076923076923073</v>
      </c>
      <c r="Q50" s="2">
        <v>1.6761999999999999</v>
      </c>
      <c r="R50" s="2">
        <f t="shared" si="3"/>
        <v>81.524000000000001</v>
      </c>
      <c r="S50" s="2">
        <v>2</v>
      </c>
      <c r="T50" s="2">
        <v>3</v>
      </c>
      <c r="U50" s="2">
        <v>5</v>
      </c>
      <c r="V50" s="2">
        <f t="shared" si="4"/>
        <v>3.1622776601683795</v>
      </c>
      <c r="W50" s="2">
        <v>1</v>
      </c>
      <c r="X50" s="2">
        <f t="shared" si="5"/>
        <v>2.4494897427831779</v>
      </c>
      <c r="Y50" s="2">
        <v>5</v>
      </c>
      <c r="Z50" s="2">
        <f t="shared" si="6"/>
        <v>3.1622776601683795</v>
      </c>
      <c r="AA50" s="2">
        <f t="shared" si="7"/>
        <v>2.4494897427831779</v>
      </c>
      <c r="AB50" s="2">
        <v>3.4641000000000002</v>
      </c>
      <c r="AC50" s="2">
        <v>1</v>
      </c>
      <c r="AD50" s="2">
        <v>0</v>
      </c>
      <c r="AE50" s="2">
        <v>1</v>
      </c>
      <c r="AF50" s="2">
        <v>1</v>
      </c>
      <c r="AG50" s="2">
        <v>0</v>
      </c>
    </row>
    <row r="51" spans="1:33" x14ac:dyDescent="0.3">
      <c r="A51" s="2" t="s">
        <v>35</v>
      </c>
      <c r="B51" s="2" t="s">
        <v>180</v>
      </c>
      <c r="C51" s="2" t="s">
        <v>91</v>
      </c>
      <c r="D51" s="2" t="s">
        <v>181</v>
      </c>
      <c r="E51" s="2">
        <v>2014</v>
      </c>
      <c r="F51" s="2">
        <v>40</v>
      </c>
      <c r="G51" s="2">
        <v>11</v>
      </c>
      <c r="H51" s="2">
        <v>19</v>
      </c>
      <c r="I51" s="2">
        <v>6</v>
      </c>
      <c r="J51" s="2">
        <v>20</v>
      </c>
      <c r="K51" s="2">
        <f t="shared" ca="1" si="0"/>
        <v>12</v>
      </c>
      <c r="L51" s="2">
        <v>9</v>
      </c>
      <c r="M51" s="2">
        <v>9</v>
      </c>
      <c r="N51" s="2">
        <v>216</v>
      </c>
      <c r="O51" s="2">
        <f t="shared" ca="1" si="1"/>
        <v>0.75</v>
      </c>
      <c r="P51" s="2">
        <f t="shared" ca="1" si="2"/>
        <v>46.625</v>
      </c>
      <c r="Q51" s="2">
        <v>5.0965999999999996</v>
      </c>
      <c r="R51" s="2">
        <f t="shared" si="3"/>
        <v>57.491499999999995</v>
      </c>
      <c r="S51" s="2">
        <v>9</v>
      </c>
      <c r="T51" s="2">
        <v>13</v>
      </c>
      <c r="U51" s="2">
        <v>17.666699999999999</v>
      </c>
      <c r="V51" s="2">
        <f t="shared" si="4"/>
        <v>12.609532108686665</v>
      </c>
      <c r="W51" s="2">
        <v>4</v>
      </c>
      <c r="X51" s="2">
        <f t="shared" si="5"/>
        <v>10.816653826391969</v>
      </c>
      <c r="Y51" s="2">
        <v>15</v>
      </c>
      <c r="Z51" s="2">
        <f t="shared" si="6"/>
        <v>11.61895003862225</v>
      </c>
      <c r="AA51" s="2">
        <f t="shared" si="7"/>
        <v>8.8317778504670272</v>
      </c>
      <c r="AB51" s="2">
        <v>25.651499999999999</v>
      </c>
      <c r="AC51" s="2">
        <v>6</v>
      </c>
      <c r="AD51" s="2">
        <v>6</v>
      </c>
      <c r="AE51" s="2">
        <v>3</v>
      </c>
      <c r="AF51" s="2">
        <v>5</v>
      </c>
      <c r="AG51" s="2">
        <v>2</v>
      </c>
    </row>
    <row r="52" spans="1:33" x14ac:dyDescent="0.3">
      <c r="A52" s="2" t="s">
        <v>35</v>
      </c>
      <c r="B52" s="2" t="s">
        <v>183</v>
      </c>
      <c r="C52" s="2" t="s">
        <v>91</v>
      </c>
      <c r="D52" s="2" t="s">
        <v>184</v>
      </c>
      <c r="E52" s="2">
        <v>1985</v>
      </c>
      <c r="F52" s="2">
        <v>58</v>
      </c>
      <c r="G52" s="2">
        <v>16</v>
      </c>
      <c r="H52" s="2">
        <v>22</v>
      </c>
      <c r="I52" s="2">
        <v>3</v>
      </c>
      <c r="J52" s="2">
        <v>22</v>
      </c>
      <c r="K52" s="2">
        <f t="shared" ca="1" si="0"/>
        <v>41</v>
      </c>
      <c r="L52" s="2">
        <v>12</v>
      </c>
      <c r="M52" s="2">
        <v>13</v>
      </c>
      <c r="N52" s="2">
        <v>1870</v>
      </c>
      <c r="O52" s="2">
        <f t="shared" ca="1" si="1"/>
        <v>0.29268292682926828</v>
      </c>
      <c r="P52" s="2">
        <f t="shared" ca="1" si="2"/>
        <v>37.401177460050455</v>
      </c>
      <c r="Q52" s="2">
        <v>14.7026</v>
      </c>
      <c r="R52" s="2">
        <f t="shared" si="3"/>
        <v>62.245862068965508</v>
      </c>
      <c r="S52" s="2">
        <v>12</v>
      </c>
      <c r="T52" s="2">
        <v>43</v>
      </c>
      <c r="U52" s="2">
        <v>145.5</v>
      </c>
      <c r="V52" s="2">
        <f t="shared" si="4"/>
        <v>41.785164831552358</v>
      </c>
      <c r="W52" s="2">
        <v>5</v>
      </c>
      <c r="X52" s="2">
        <f t="shared" si="5"/>
        <v>22.715633383201094</v>
      </c>
      <c r="Y52" s="2">
        <v>21.5</v>
      </c>
      <c r="Z52" s="2">
        <f t="shared" si="6"/>
        <v>16.06237840420901</v>
      </c>
      <c r="AA52" s="2">
        <f t="shared" si="7"/>
        <v>40.024992192379003</v>
      </c>
      <c r="AB52" s="2">
        <v>57.148899999999998</v>
      </c>
      <c r="AC52" s="2">
        <v>10</v>
      </c>
      <c r="AD52" s="2">
        <v>8</v>
      </c>
      <c r="AE52" s="2">
        <v>6</v>
      </c>
      <c r="AF52" s="2">
        <v>5</v>
      </c>
      <c r="AG52" s="2">
        <v>1</v>
      </c>
    </row>
    <row r="53" spans="1:33" x14ac:dyDescent="0.3">
      <c r="A53" s="2" t="s">
        <v>35</v>
      </c>
      <c r="B53" s="2" t="s">
        <v>186</v>
      </c>
      <c r="C53" s="2" t="s">
        <v>187</v>
      </c>
      <c r="D53" s="2" t="s">
        <v>188</v>
      </c>
      <c r="E53" s="2">
        <v>1996</v>
      </c>
      <c r="F53" s="2">
        <v>108</v>
      </c>
      <c r="G53" s="2">
        <v>20</v>
      </c>
      <c r="H53" s="2">
        <v>44</v>
      </c>
      <c r="I53" s="2">
        <v>38</v>
      </c>
      <c r="J53" s="2">
        <v>56</v>
      </c>
      <c r="K53" s="2">
        <f t="shared" ca="1" si="0"/>
        <v>30</v>
      </c>
      <c r="L53" s="2">
        <v>34</v>
      </c>
      <c r="M53" s="2">
        <v>58</v>
      </c>
      <c r="N53" s="2">
        <v>3482</v>
      </c>
      <c r="O53" s="2">
        <f t="shared" ca="1" si="1"/>
        <v>1.1333333333333333</v>
      </c>
      <c r="P53" s="2">
        <f t="shared" ca="1" si="2"/>
        <v>56.604938271604937</v>
      </c>
      <c r="Q53" s="2">
        <v>16.681100000000001</v>
      </c>
      <c r="R53" s="2">
        <f t="shared" si="3"/>
        <v>71.001018518518521</v>
      </c>
      <c r="S53" s="2">
        <v>34</v>
      </c>
      <c r="T53" s="2">
        <v>58</v>
      </c>
      <c r="U53" s="2">
        <v>84.441199999999995</v>
      </c>
      <c r="V53" s="2">
        <f t="shared" si="4"/>
        <v>53.581720763708212</v>
      </c>
      <c r="W53" s="2">
        <v>9</v>
      </c>
      <c r="X53" s="2">
        <f t="shared" si="5"/>
        <v>44.407206622349037</v>
      </c>
      <c r="Y53" s="2">
        <v>66</v>
      </c>
      <c r="Z53" s="2">
        <f t="shared" si="6"/>
        <v>47.370877129308042</v>
      </c>
      <c r="AA53" s="2">
        <f t="shared" si="7"/>
        <v>41.412568140601955</v>
      </c>
      <c r="AB53" s="2">
        <v>189.30930000000001</v>
      </c>
      <c r="AC53" s="2">
        <v>25</v>
      </c>
      <c r="AD53" s="2">
        <v>7</v>
      </c>
      <c r="AE53" s="2">
        <v>6</v>
      </c>
      <c r="AF53" s="2">
        <v>17</v>
      </c>
      <c r="AG53" s="2">
        <v>22</v>
      </c>
    </row>
    <row r="54" spans="1:33" x14ac:dyDescent="0.3">
      <c r="A54" s="2" t="s">
        <v>35</v>
      </c>
      <c r="B54" s="2" t="s">
        <v>190</v>
      </c>
      <c r="C54" s="2" t="s">
        <v>38</v>
      </c>
      <c r="D54" s="2" t="s">
        <v>191</v>
      </c>
      <c r="E54" s="2">
        <v>1995</v>
      </c>
      <c r="F54" s="2">
        <v>304</v>
      </c>
      <c r="G54" s="2">
        <v>141</v>
      </c>
      <c r="H54" s="2">
        <v>19</v>
      </c>
      <c r="I54" s="2">
        <v>91</v>
      </c>
      <c r="J54" s="2">
        <v>103</v>
      </c>
      <c r="K54" s="2">
        <f t="shared" ca="1" si="0"/>
        <v>31</v>
      </c>
      <c r="L54" s="2">
        <v>61</v>
      </c>
      <c r="M54" s="2">
        <v>177</v>
      </c>
      <c r="N54" s="2">
        <v>12605</v>
      </c>
      <c r="O54" s="2">
        <f t="shared" ca="1" si="1"/>
        <v>1.967741935483871</v>
      </c>
      <c r="P54" s="2">
        <f t="shared" ca="1" si="2"/>
        <v>33.015704584040755</v>
      </c>
      <c r="Q54" s="2">
        <v>30.047599999999999</v>
      </c>
      <c r="R54" s="2">
        <f t="shared" si="3"/>
        <v>42.252499999999998</v>
      </c>
      <c r="S54" s="2">
        <v>61</v>
      </c>
      <c r="T54" s="2">
        <v>105</v>
      </c>
      <c r="U54" s="2">
        <v>150.39340000000001</v>
      </c>
      <c r="V54" s="2">
        <f t="shared" si="4"/>
        <v>95.780986630959276</v>
      </c>
      <c r="W54" s="2">
        <v>13</v>
      </c>
      <c r="X54" s="2">
        <f t="shared" si="5"/>
        <v>80.031243898867402</v>
      </c>
      <c r="Y54" s="2">
        <v>119</v>
      </c>
      <c r="Z54" s="2">
        <f t="shared" si="6"/>
        <v>85.199765257892579</v>
      </c>
      <c r="AA54" s="2">
        <f t="shared" si="7"/>
        <v>73.84441346506857</v>
      </c>
      <c r="AB54" s="2">
        <v>434.64010000000002</v>
      </c>
      <c r="AC54" s="2">
        <v>45</v>
      </c>
      <c r="AD54" s="2">
        <v>8</v>
      </c>
      <c r="AE54" s="2">
        <v>14</v>
      </c>
      <c r="AF54" s="2">
        <v>42</v>
      </c>
      <c r="AG54" s="2">
        <v>36</v>
      </c>
    </row>
    <row r="55" spans="1:33" x14ac:dyDescent="0.3">
      <c r="A55" s="2" t="s">
        <v>35</v>
      </c>
      <c r="B55" s="2" t="s">
        <v>193</v>
      </c>
      <c r="C55" s="2" t="s">
        <v>91</v>
      </c>
      <c r="D55" s="2" t="s">
        <v>194</v>
      </c>
      <c r="E55" s="2">
        <v>2008</v>
      </c>
      <c r="F55" s="2">
        <v>32</v>
      </c>
      <c r="G55" s="2">
        <v>5</v>
      </c>
      <c r="H55" s="2">
        <v>14</v>
      </c>
      <c r="I55" s="2">
        <v>1</v>
      </c>
      <c r="J55" s="2">
        <v>14</v>
      </c>
      <c r="K55" s="2">
        <f t="shared" ca="1" si="0"/>
        <v>18</v>
      </c>
      <c r="L55" s="2">
        <v>13</v>
      </c>
      <c r="M55" s="2">
        <v>14</v>
      </c>
      <c r="N55" s="2">
        <v>787</v>
      </c>
      <c r="O55" s="2">
        <f t="shared" ca="1" si="1"/>
        <v>0.72222222222222221</v>
      </c>
      <c r="P55" s="2">
        <f t="shared" ca="1" si="2"/>
        <v>63.194444444444443</v>
      </c>
      <c r="Q55" s="2">
        <v>8.8878000000000004</v>
      </c>
      <c r="R55" s="2">
        <f t="shared" si="3"/>
        <v>88.711874999999992</v>
      </c>
      <c r="S55" s="2">
        <v>13</v>
      </c>
      <c r="T55" s="2">
        <v>28</v>
      </c>
      <c r="U55" s="2">
        <v>55.384599999999999</v>
      </c>
      <c r="V55" s="2">
        <f t="shared" si="4"/>
        <v>26.832812003217253</v>
      </c>
      <c r="W55" s="2">
        <v>6</v>
      </c>
      <c r="X55" s="2">
        <f t="shared" si="5"/>
        <v>19.078784028338912</v>
      </c>
      <c r="Y55" s="2">
        <v>24</v>
      </c>
      <c r="Z55" s="2">
        <f t="shared" si="6"/>
        <v>17.663521732655695</v>
      </c>
      <c r="AA55" s="2">
        <f t="shared" si="7"/>
        <v>23.473384928467389</v>
      </c>
      <c r="AB55" s="2">
        <v>52.325899999999997</v>
      </c>
      <c r="AC55" s="2">
        <v>10</v>
      </c>
      <c r="AD55" s="2">
        <v>10</v>
      </c>
      <c r="AE55" s="2">
        <v>2</v>
      </c>
      <c r="AF55" s="2">
        <v>5</v>
      </c>
      <c r="AG55" s="2">
        <v>0</v>
      </c>
    </row>
    <row r="56" spans="1:33" x14ac:dyDescent="0.3">
      <c r="A56" s="2" t="s">
        <v>35</v>
      </c>
      <c r="B56" s="2" t="s">
        <v>196</v>
      </c>
      <c r="C56" s="2" t="s">
        <v>91</v>
      </c>
      <c r="D56" s="2" t="s">
        <v>197</v>
      </c>
      <c r="E56" s="2">
        <v>2000</v>
      </c>
      <c r="F56" s="2">
        <v>17</v>
      </c>
      <c r="G56" s="2">
        <v>3</v>
      </c>
      <c r="H56" s="2">
        <v>1</v>
      </c>
      <c r="I56" s="2">
        <v>1</v>
      </c>
      <c r="J56" s="2">
        <v>1</v>
      </c>
      <c r="K56" s="2">
        <f t="shared" ca="1" si="0"/>
        <v>26</v>
      </c>
      <c r="L56" s="2">
        <v>4</v>
      </c>
      <c r="M56" s="2">
        <v>3</v>
      </c>
      <c r="N56" s="2">
        <v>117</v>
      </c>
      <c r="O56" s="2">
        <f t="shared" ca="1" si="1"/>
        <v>0.15384615384615385</v>
      </c>
      <c r="P56" s="2">
        <f t="shared" ca="1" si="2"/>
        <v>25.610859728506792</v>
      </c>
      <c r="Q56" s="2">
        <v>2.8521000000000001</v>
      </c>
      <c r="R56" s="2">
        <f t="shared" si="3"/>
        <v>41.48294117647059</v>
      </c>
      <c r="S56" s="2">
        <v>4</v>
      </c>
      <c r="T56" s="2">
        <v>10</v>
      </c>
      <c r="U56" s="2">
        <v>25.75</v>
      </c>
      <c r="V56" s="2">
        <f t="shared" si="4"/>
        <v>10.148891565092219</v>
      </c>
      <c r="W56" s="2">
        <v>3</v>
      </c>
      <c r="X56" s="2">
        <f t="shared" si="5"/>
        <v>6.324555320336759</v>
      </c>
      <c r="Y56" s="2">
        <v>27.5</v>
      </c>
      <c r="Z56" s="2">
        <f t="shared" si="6"/>
        <v>10.488088481701515</v>
      </c>
      <c r="AA56" s="2">
        <f t="shared" si="7"/>
        <v>9.3273790530888157</v>
      </c>
      <c r="AB56" s="2">
        <v>13.856400000000001</v>
      </c>
      <c r="AC56" s="2">
        <v>3</v>
      </c>
      <c r="AD56" s="2">
        <v>0</v>
      </c>
      <c r="AE56" s="2">
        <v>3</v>
      </c>
      <c r="AF56" s="2">
        <v>3</v>
      </c>
      <c r="AG56" s="2">
        <v>0</v>
      </c>
    </row>
    <row r="57" spans="1:33" x14ac:dyDescent="0.3">
      <c r="A57" s="2" t="s">
        <v>35</v>
      </c>
      <c r="B57" s="2" t="s">
        <v>199</v>
      </c>
      <c r="C57" s="2" t="s">
        <v>51</v>
      </c>
      <c r="D57" s="2" t="s">
        <v>200</v>
      </c>
      <c r="E57" s="2">
        <v>1989</v>
      </c>
      <c r="F57" s="2">
        <v>70</v>
      </c>
      <c r="G57" s="2">
        <v>22</v>
      </c>
      <c r="H57" s="2">
        <v>2</v>
      </c>
      <c r="I57" s="2">
        <v>1</v>
      </c>
      <c r="J57" s="2">
        <v>3</v>
      </c>
      <c r="K57" s="2">
        <f t="shared" ca="1" si="0"/>
        <v>37</v>
      </c>
      <c r="L57" s="2">
        <v>13</v>
      </c>
      <c r="M57" s="2">
        <v>20</v>
      </c>
      <c r="N57" s="2">
        <v>607</v>
      </c>
      <c r="O57" s="2">
        <f t="shared" ca="1" si="1"/>
        <v>0.35135135135135137</v>
      </c>
      <c r="P57" s="2">
        <f t="shared" ca="1" si="2"/>
        <v>18.073359073359075</v>
      </c>
      <c r="Q57" s="2">
        <v>7.4585999999999997</v>
      </c>
      <c r="R57" s="2">
        <f t="shared" si="3"/>
        <v>28.226571428571432</v>
      </c>
      <c r="S57" s="2">
        <v>13</v>
      </c>
      <c r="T57" s="2">
        <v>23</v>
      </c>
      <c r="U57" s="2">
        <v>33.230800000000002</v>
      </c>
      <c r="V57" s="2">
        <f t="shared" si="4"/>
        <v>20.784619313328786</v>
      </c>
      <c r="W57" s="2">
        <v>5</v>
      </c>
      <c r="X57" s="2">
        <f t="shared" si="5"/>
        <v>17.291616465790582</v>
      </c>
      <c r="Y57" s="2">
        <v>25</v>
      </c>
      <c r="Z57" s="2">
        <f t="shared" si="6"/>
        <v>18.027756377319946</v>
      </c>
      <c r="AA57" s="2">
        <f t="shared" si="7"/>
        <v>16.217287072750487</v>
      </c>
      <c r="AB57" s="2">
        <v>47.801699999999997</v>
      </c>
      <c r="AC57" s="2">
        <v>9</v>
      </c>
      <c r="AD57" s="2">
        <v>0</v>
      </c>
      <c r="AE57" s="2">
        <v>7</v>
      </c>
      <c r="AF57" s="2">
        <v>11</v>
      </c>
      <c r="AG57" s="2">
        <v>1</v>
      </c>
    </row>
    <row r="58" spans="1:33" x14ac:dyDescent="0.3">
      <c r="A58" s="2" t="s">
        <v>35</v>
      </c>
      <c r="B58" s="2" t="s">
        <v>202</v>
      </c>
      <c r="C58" s="2" t="s">
        <v>74</v>
      </c>
      <c r="D58" s="2" t="s">
        <v>203</v>
      </c>
      <c r="E58" s="2">
        <v>1986</v>
      </c>
      <c r="F58" s="2">
        <v>89</v>
      </c>
      <c r="G58" s="2">
        <v>12</v>
      </c>
      <c r="H58" s="2">
        <v>32</v>
      </c>
      <c r="I58" s="2">
        <v>26</v>
      </c>
      <c r="J58" s="2">
        <v>42</v>
      </c>
      <c r="K58" s="2">
        <f t="shared" ca="1" si="0"/>
        <v>40</v>
      </c>
      <c r="L58" s="2">
        <v>26</v>
      </c>
      <c r="M58" s="2">
        <v>34</v>
      </c>
      <c r="N58" s="2">
        <v>1779</v>
      </c>
      <c r="O58" s="2">
        <f t="shared" ca="1" si="1"/>
        <v>0.65</v>
      </c>
      <c r="P58" s="2">
        <f t="shared" ca="1" si="2"/>
        <v>52.191011235955052</v>
      </c>
      <c r="Q58" s="2">
        <v>11.9131</v>
      </c>
      <c r="R58" s="2">
        <f t="shared" si="3"/>
        <v>64.846179775280902</v>
      </c>
      <c r="S58" s="2">
        <v>26</v>
      </c>
      <c r="T58" s="2">
        <v>41</v>
      </c>
      <c r="U58" s="2">
        <v>58.846200000000003</v>
      </c>
      <c r="V58" s="2">
        <f t="shared" si="4"/>
        <v>39.115229770512663</v>
      </c>
      <c r="W58" s="2">
        <v>8</v>
      </c>
      <c r="X58" s="2">
        <f t="shared" si="5"/>
        <v>32.649655434629018</v>
      </c>
      <c r="Y58" s="2">
        <v>51</v>
      </c>
      <c r="Z58" s="2">
        <f t="shared" si="6"/>
        <v>36.414282912066248</v>
      </c>
      <c r="AA58" s="2">
        <f t="shared" si="7"/>
        <v>29.22329892397503</v>
      </c>
      <c r="AB58" s="2">
        <v>124.916</v>
      </c>
      <c r="AC58" s="2">
        <v>18</v>
      </c>
      <c r="AD58" s="2">
        <v>5</v>
      </c>
      <c r="AE58" s="2">
        <v>9</v>
      </c>
      <c r="AF58" s="2">
        <v>10</v>
      </c>
      <c r="AG58" s="2">
        <v>11</v>
      </c>
    </row>
    <row r="59" spans="1:33" x14ac:dyDescent="0.3">
      <c r="A59" s="2" t="s">
        <v>35</v>
      </c>
      <c r="B59" s="2" t="s">
        <v>205</v>
      </c>
      <c r="C59" s="2" t="s">
        <v>51</v>
      </c>
      <c r="D59" s="2" t="s">
        <v>206</v>
      </c>
      <c r="E59" s="2">
        <v>1994</v>
      </c>
      <c r="F59" s="2">
        <v>56</v>
      </c>
      <c r="G59" s="2">
        <v>32</v>
      </c>
      <c r="H59" s="2">
        <v>7</v>
      </c>
      <c r="I59" s="2">
        <v>22</v>
      </c>
      <c r="J59" s="2">
        <v>26</v>
      </c>
      <c r="K59" s="2">
        <f t="shared" ca="1" si="0"/>
        <v>32</v>
      </c>
      <c r="L59" s="2">
        <v>24</v>
      </c>
      <c r="M59" s="2">
        <v>35</v>
      </c>
      <c r="N59" s="2">
        <v>3225</v>
      </c>
      <c r="O59" s="2">
        <f t="shared" ca="1" si="1"/>
        <v>0.75</v>
      </c>
      <c r="P59" s="2">
        <f t="shared" ca="1" si="2"/>
        <v>61.696428571428569</v>
      </c>
      <c r="Q59" s="2">
        <v>18.273700000000002</v>
      </c>
      <c r="R59" s="2">
        <f t="shared" si="3"/>
        <v>92.98875000000001</v>
      </c>
      <c r="S59" s="2">
        <v>24</v>
      </c>
      <c r="T59" s="2">
        <v>56</v>
      </c>
      <c r="U59" s="2">
        <v>124.54170000000001</v>
      </c>
      <c r="V59" s="2">
        <f t="shared" si="4"/>
        <v>54.671755047739232</v>
      </c>
      <c r="W59" s="2">
        <v>9</v>
      </c>
      <c r="X59" s="2">
        <f t="shared" si="5"/>
        <v>36.660605559646719</v>
      </c>
      <c r="Y59" s="2">
        <v>65.5</v>
      </c>
      <c r="Z59" s="2">
        <f t="shared" si="6"/>
        <v>39.648455203198019</v>
      </c>
      <c r="AA59" s="2">
        <f t="shared" si="7"/>
        <v>49.122304506201665</v>
      </c>
      <c r="AB59" s="2">
        <v>138.60740000000001</v>
      </c>
      <c r="AC59" s="2">
        <v>20</v>
      </c>
      <c r="AD59" s="2">
        <v>4</v>
      </c>
      <c r="AE59" s="2">
        <v>6</v>
      </c>
      <c r="AF59" s="2">
        <v>10</v>
      </c>
      <c r="AG59" s="2">
        <v>15</v>
      </c>
    </row>
    <row r="60" spans="1:33" x14ac:dyDescent="0.3">
      <c r="A60" s="2" t="s">
        <v>35</v>
      </c>
      <c r="B60" s="2" t="s">
        <v>208</v>
      </c>
      <c r="C60" s="2" t="s">
        <v>43</v>
      </c>
      <c r="D60" s="2" t="s">
        <v>209</v>
      </c>
      <c r="E60" s="2">
        <v>2000</v>
      </c>
      <c r="F60" s="2">
        <v>12</v>
      </c>
      <c r="G60" s="2">
        <v>3</v>
      </c>
      <c r="H60" s="2">
        <v>4</v>
      </c>
      <c r="I60" s="2">
        <v>3</v>
      </c>
      <c r="J60" s="2">
        <v>4</v>
      </c>
      <c r="K60" s="2">
        <f t="shared" ca="1" si="0"/>
        <v>26</v>
      </c>
      <c r="L60" s="2">
        <v>5</v>
      </c>
      <c r="M60" s="2">
        <v>4</v>
      </c>
      <c r="N60" s="2">
        <v>216</v>
      </c>
      <c r="O60" s="2">
        <f t="shared" ca="1" si="1"/>
        <v>0.19230769230769232</v>
      </c>
      <c r="P60" s="2">
        <f t="shared" ca="1" si="2"/>
        <v>57.435897435897445</v>
      </c>
      <c r="Q60" s="2">
        <v>4.0971000000000002</v>
      </c>
      <c r="R60" s="2">
        <f t="shared" si="3"/>
        <v>89.975833333333341</v>
      </c>
      <c r="S60" s="2">
        <v>5</v>
      </c>
      <c r="T60" s="2">
        <v>12</v>
      </c>
      <c r="U60" s="2">
        <v>42</v>
      </c>
      <c r="V60" s="2">
        <f t="shared" si="4"/>
        <v>14.491376746189438</v>
      </c>
      <c r="W60" s="2">
        <v>4</v>
      </c>
      <c r="X60" s="2">
        <f t="shared" si="5"/>
        <v>7.745966692414834</v>
      </c>
      <c r="Y60" s="2">
        <v>31</v>
      </c>
      <c r="Z60" s="2">
        <f t="shared" si="6"/>
        <v>12.449899597988733</v>
      </c>
      <c r="AA60" s="2">
        <f t="shared" si="7"/>
        <v>13.601470508735444</v>
      </c>
      <c r="AB60" s="2">
        <v>20.664000000000001</v>
      </c>
      <c r="AC60" s="2">
        <v>4</v>
      </c>
      <c r="AD60" s="2">
        <v>1</v>
      </c>
      <c r="AE60" s="2">
        <v>2</v>
      </c>
      <c r="AF60" s="2">
        <v>2</v>
      </c>
      <c r="AG60" s="2">
        <v>1</v>
      </c>
    </row>
    <row r="61" spans="1:33" x14ac:dyDescent="0.3">
      <c r="A61" s="2" t="s">
        <v>35</v>
      </c>
      <c r="B61" s="2" t="s">
        <v>211</v>
      </c>
      <c r="C61" s="2" t="s">
        <v>38</v>
      </c>
      <c r="D61" s="2" t="s">
        <v>212</v>
      </c>
      <c r="E61" s="2">
        <v>1981</v>
      </c>
      <c r="F61" s="2">
        <v>118</v>
      </c>
      <c r="G61" s="2">
        <v>30</v>
      </c>
      <c r="H61" s="2">
        <v>47</v>
      </c>
      <c r="I61" s="2">
        <v>23</v>
      </c>
      <c r="J61" s="2">
        <v>49</v>
      </c>
      <c r="K61" s="2">
        <f t="shared" ca="1" si="0"/>
        <v>45</v>
      </c>
      <c r="L61" s="2">
        <v>12</v>
      </c>
      <c r="M61" s="2">
        <v>16</v>
      </c>
      <c r="N61" s="2">
        <v>527</v>
      </c>
      <c r="O61" s="2">
        <f t="shared" ca="1" si="1"/>
        <v>0.26666666666666666</v>
      </c>
      <c r="P61" s="2">
        <f t="shared" ca="1" si="2"/>
        <v>28.615819209039547</v>
      </c>
      <c r="Q61" s="2">
        <v>5.2439999999999998</v>
      </c>
      <c r="R61" s="2">
        <f t="shared" si="3"/>
        <v>32.833898305084745</v>
      </c>
      <c r="S61" s="2">
        <v>12</v>
      </c>
      <c r="T61" s="2">
        <v>21</v>
      </c>
      <c r="U61" s="2">
        <v>30.333300000000001</v>
      </c>
      <c r="V61" s="2">
        <f t="shared" si="4"/>
        <v>19.078773545487664</v>
      </c>
      <c r="W61" s="2">
        <v>5</v>
      </c>
      <c r="X61" s="2">
        <f t="shared" si="5"/>
        <v>15.874507866387544</v>
      </c>
      <c r="Y61" s="2">
        <v>25</v>
      </c>
      <c r="Z61" s="2">
        <f t="shared" si="6"/>
        <v>17.320508075688775</v>
      </c>
      <c r="AA61" s="2">
        <f t="shared" si="7"/>
        <v>14.832383490187947</v>
      </c>
      <c r="AB61" s="2">
        <v>42.637999999999998</v>
      </c>
      <c r="AC61" s="2">
        <v>8</v>
      </c>
      <c r="AD61" s="2">
        <v>5</v>
      </c>
      <c r="AE61" s="2">
        <v>5</v>
      </c>
      <c r="AF61" s="2">
        <v>8</v>
      </c>
      <c r="AG61" s="2">
        <v>4</v>
      </c>
    </row>
    <row r="62" spans="1:33" x14ac:dyDescent="0.3">
      <c r="A62" s="2" t="s">
        <v>35</v>
      </c>
      <c r="B62" s="2" t="s">
        <v>214</v>
      </c>
      <c r="C62" s="2" t="s">
        <v>43</v>
      </c>
      <c r="D62" s="2" t="s">
        <v>215</v>
      </c>
      <c r="E62" s="2">
        <v>2009</v>
      </c>
      <c r="F62" s="2">
        <v>1</v>
      </c>
      <c r="G62" s="2">
        <v>0</v>
      </c>
      <c r="H62" s="2">
        <v>1</v>
      </c>
      <c r="I62" s="2">
        <v>1</v>
      </c>
      <c r="J62" s="2">
        <v>1</v>
      </c>
      <c r="K62" s="2">
        <f t="shared" ca="1" si="0"/>
        <v>17</v>
      </c>
      <c r="L62" s="2">
        <v>1</v>
      </c>
      <c r="M62" s="2">
        <v>0</v>
      </c>
      <c r="N62" s="2">
        <v>2</v>
      </c>
      <c r="O62" s="2">
        <f t="shared" ca="1" si="1"/>
        <v>5.8823529411764705E-2</v>
      </c>
      <c r="P62" s="2">
        <f t="shared" ca="1" si="2"/>
        <v>155.88235294117646</v>
      </c>
      <c r="Q62" s="2">
        <v>0.33329999999999999</v>
      </c>
      <c r="R62" s="2">
        <f t="shared" si="3"/>
        <v>183.32999999999998</v>
      </c>
      <c r="S62" s="2">
        <v>1</v>
      </c>
      <c r="T62" s="2">
        <v>1</v>
      </c>
      <c r="U62" s="2">
        <v>2</v>
      </c>
      <c r="V62" s="2">
        <f t="shared" si="4"/>
        <v>1.4142135623730951</v>
      </c>
      <c r="W62" s="2">
        <v>1</v>
      </c>
      <c r="X62" s="2">
        <f t="shared" si="5"/>
        <v>1</v>
      </c>
      <c r="Y62" s="2">
        <v>2</v>
      </c>
      <c r="Z62" s="2">
        <f t="shared" si="6"/>
        <v>1.4142135623730951</v>
      </c>
      <c r="AA62" s="2">
        <f t="shared" si="7"/>
        <v>1</v>
      </c>
      <c r="AB62" s="2">
        <v>1.4141999999999999</v>
      </c>
      <c r="AC62" s="2">
        <v>1</v>
      </c>
      <c r="AD62" s="2">
        <v>0</v>
      </c>
      <c r="AE62" s="2">
        <v>0</v>
      </c>
      <c r="AF62" s="2">
        <v>0</v>
      </c>
      <c r="AG62" s="2">
        <v>1</v>
      </c>
    </row>
    <row r="63" spans="1:33" x14ac:dyDescent="0.3">
      <c r="A63" s="2" t="s">
        <v>35</v>
      </c>
      <c r="B63" s="2" t="s">
        <v>217</v>
      </c>
      <c r="C63" s="2" t="s">
        <v>74</v>
      </c>
      <c r="D63" s="2" t="s">
        <v>218</v>
      </c>
      <c r="E63" s="2">
        <v>1992</v>
      </c>
      <c r="F63" s="2">
        <v>99</v>
      </c>
      <c r="G63" s="2">
        <v>70</v>
      </c>
      <c r="H63" s="2">
        <v>17</v>
      </c>
      <c r="I63" s="2">
        <v>7</v>
      </c>
      <c r="J63" s="2">
        <v>20</v>
      </c>
      <c r="K63" s="2">
        <f t="shared" ca="1" si="0"/>
        <v>34</v>
      </c>
      <c r="L63" s="2">
        <v>22</v>
      </c>
      <c r="M63" s="2">
        <v>44</v>
      </c>
      <c r="N63" s="2">
        <v>1648</v>
      </c>
      <c r="O63" s="2">
        <f t="shared" ca="1" si="1"/>
        <v>0.6470588235294118</v>
      </c>
      <c r="P63" s="2">
        <f t="shared" ca="1" si="2"/>
        <v>25.906120023767084</v>
      </c>
      <c r="Q63" s="2">
        <v>11.7265</v>
      </c>
      <c r="R63" s="2">
        <f t="shared" si="3"/>
        <v>37.097474747474749</v>
      </c>
      <c r="S63" s="2">
        <v>22</v>
      </c>
      <c r="T63" s="2">
        <v>38</v>
      </c>
      <c r="U63" s="2">
        <v>55</v>
      </c>
      <c r="V63" s="2">
        <f t="shared" si="4"/>
        <v>34.785054261852174</v>
      </c>
      <c r="W63" s="2">
        <v>7</v>
      </c>
      <c r="X63" s="2">
        <f t="shared" si="5"/>
        <v>28.913664589601922</v>
      </c>
      <c r="Y63" s="2">
        <v>33</v>
      </c>
      <c r="Z63" s="2">
        <f t="shared" si="6"/>
        <v>26.944387170614959</v>
      </c>
      <c r="AA63" s="2">
        <f t="shared" si="7"/>
        <v>26.944387170614959</v>
      </c>
      <c r="AB63" s="2">
        <v>94.074399999999997</v>
      </c>
      <c r="AC63" s="2">
        <v>11</v>
      </c>
      <c r="AD63" s="2">
        <v>6</v>
      </c>
      <c r="AE63" s="2">
        <v>0</v>
      </c>
      <c r="AF63" s="2">
        <v>18</v>
      </c>
      <c r="AG63" s="2">
        <v>4</v>
      </c>
    </row>
    <row r="64" spans="1:33" x14ac:dyDescent="0.3">
      <c r="A64" s="2" t="s">
        <v>35</v>
      </c>
      <c r="B64" s="2" t="s">
        <v>220</v>
      </c>
      <c r="C64" s="2" t="s">
        <v>91</v>
      </c>
      <c r="D64" s="2" t="s">
        <v>221</v>
      </c>
      <c r="E64" s="2">
        <v>1996</v>
      </c>
      <c r="F64" s="2">
        <v>41</v>
      </c>
      <c r="G64" s="2">
        <v>4</v>
      </c>
      <c r="H64" s="2">
        <v>22</v>
      </c>
      <c r="I64" s="2">
        <v>12</v>
      </c>
      <c r="J64" s="2">
        <v>27</v>
      </c>
      <c r="K64" s="2">
        <f t="shared" ca="1" si="0"/>
        <v>30</v>
      </c>
      <c r="L64" s="2">
        <v>12</v>
      </c>
      <c r="M64" s="2">
        <v>15</v>
      </c>
      <c r="N64" s="2">
        <v>435</v>
      </c>
      <c r="O64" s="2">
        <f t="shared" ca="1" si="1"/>
        <v>0.4</v>
      </c>
      <c r="P64" s="2">
        <f t="shared" ca="1" si="2"/>
        <v>62.195121951219512</v>
      </c>
      <c r="Q64" s="2">
        <v>4.718</v>
      </c>
      <c r="R64" s="2">
        <f t="shared" si="3"/>
        <v>72.72682926829269</v>
      </c>
      <c r="S64" s="2">
        <v>12</v>
      </c>
      <c r="T64" s="2">
        <v>20</v>
      </c>
      <c r="U64" s="2">
        <v>28.666699999999999</v>
      </c>
      <c r="V64" s="2">
        <f t="shared" si="4"/>
        <v>18.547247774265593</v>
      </c>
      <c r="W64" s="2">
        <v>4</v>
      </c>
      <c r="X64" s="2">
        <f t="shared" si="5"/>
        <v>15.491933384829668</v>
      </c>
      <c r="Y64" s="2">
        <v>20.5</v>
      </c>
      <c r="Z64" s="2">
        <f t="shared" si="6"/>
        <v>15.684387141358123</v>
      </c>
      <c r="AA64" s="2">
        <f t="shared" si="7"/>
        <v>14.142149765859504</v>
      </c>
      <c r="AB64" s="2">
        <v>39.661099999999998</v>
      </c>
      <c r="AC64" s="2">
        <v>10</v>
      </c>
      <c r="AD64" s="2">
        <v>7</v>
      </c>
      <c r="AE64" s="2">
        <v>0</v>
      </c>
      <c r="AF64" s="2">
        <v>5</v>
      </c>
      <c r="AG64" s="2">
        <v>7</v>
      </c>
    </row>
    <row r="65" spans="1:33" x14ac:dyDescent="0.3">
      <c r="A65" s="2" t="s">
        <v>35</v>
      </c>
      <c r="B65" s="2" t="s">
        <v>223</v>
      </c>
      <c r="C65" s="2" t="s">
        <v>55</v>
      </c>
      <c r="D65" s="2" t="s">
        <v>224</v>
      </c>
      <c r="E65" s="2">
        <v>2003</v>
      </c>
      <c r="F65" s="2">
        <v>51</v>
      </c>
      <c r="G65" s="2">
        <v>1</v>
      </c>
      <c r="H65" s="2">
        <v>50</v>
      </c>
      <c r="I65" s="2">
        <v>50</v>
      </c>
      <c r="J65" s="2">
        <v>50</v>
      </c>
      <c r="K65" s="2">
        <f t="shared" ca="1" si="0"/>
        <v>23</v>
      </c>
      <c r="L65" s="2">
        <v>2</v>
      </c>
      <c r="M65" s="2">
        <v>0</v>
      </c>
      <c r="N65" s="2">
        <v>8</v>
      </c>
      <c r="O65" s="2">
        <f t="shared" ca="1" si="1"/>
        <v>8.6956521739130432E-2</v>
      </c>
      <c r="P65" s="2">
        <f t="shared" ca="1" si="2"/>
        <v>52.915601023017892</v>
      </c>
      <c r="Q65" s="2">
        <v>0.67079999999999995</v>
      </c>
      <c r="R65" s="2">
        <f t="shared" si="3"/>
        <v>54.06039215686274</v>
      </c>
      <c r="S65" s="2">
        <v>2</v>
      </c>
      <c r="T65" s="2">
        <v>2</v>
      </c>
      <c r="U65" s="2">
        <v>2</v>
      </c>
      <c r="V65" s="2">
        <f t="shared" si="4"/>
        <v>2</v>
      </c>
      <c r="W65" s="2">
        <v>1</v>
      </c>
      <c r="X65" s="2">
        <f t="shared" si="5"/>
        <v>2</v>
      </c>
      <c r="Y65" s="2">
        <v>2</v>
      </c>
      <c r="Z65" s="2">
        <f t="shared" si="6"/>
        <v>2</v>
      </c>
      <c r="AA65" s="2">
        <f t="shared" si="7"/>
        <v>0</v>
      </c>
      <c r="AB65" s="2">
        <v>2.4495</v>
      </c>
      <c r="AC65" s="2">
        <v>2</v>
      </c>
      <c r="AD65" s="2">
        <v>0</v>
      </c>
      <c r="AE65" s="2">
        <v>0</v>
      </c>
      <c r="AF65" s="2">
        <v>0</v>
      </c>
      <c r="AG65" s="2">
        <v>2</v>
      </c>
    </row>
    <row r="66" spans="1:33" x14ac:dyDescent="0.3">
      <c r="A66" s="2" t="s">
        <v>35</v>
      </c>
      <c r="B66" s="2" t="s">
        <v>226</v>
      </c>
      <c r="C66" s="2" t="s">
        <v>227</v>
      </c>
      <c r="D66" s="2" t="s">
        <v>228</v>
      </c>
      <c r="E66" s="2">
        <v>2004</v>
      </c>
      <c r="F66" s="2">
        <v>29</v>
      </c>
      <c r="G66" s="2">
        <v>18</v>
      </c>
      <c r="H66" s="2">
        <v>8</v>
      </c>
      <c r="I66" s="2">
        <v>6</v>
      </c>
      <c r="J66" s="2">
        <v>13</v>
      </c>
      <c r="K66" s="2">
        <f t="shared" ref="K66:K129" ca="1" si="8">IF((YEAR(TODAY())-E66)&lt;=0,1,YEAR(TODAY())-E66)</f>
        <v>22</v>
      </c>
      <c r="L66" s="2">
        <v>12</v>
      </c>
      <c r="M66" s="2">
        <v>12</v>
      </c>
      <c r="N66" s="2">
        <v>613</v>
      </c>
      <c r="O66" s="2">
        <f t="shared" ref="O66:O129" ca="1" si="9">IFERROR(L66/K66,0)</f>
        <v>0.54545454545454541</v>
      </c>
      <c r="P66" s="2">
        <f t="shared" ref="P66:P129" ca="1" si="10">IFERROR((100/F66)*(L66-0.1*G66+0.5*J66+O66),0)</f>
        <v>59.467084639498431</v>
      </c>
      <c r="Q66" s="2">
        <v>6.8128000000000002</v>
      </c>
      <c r="R66" s="2">
        <f t="shared" ref="R66:R129" si="11">IFERROR((100/F66)*(L66-0.1*G66+0.5*J66+Q66),0)</f>
        <v>81.078620689655168</v>
      </c>
      <c r="S66" s="2">
        <v>12</v>
      </c>
      <c r="T66" s="2">
        <v>24</v>
      </c>
      <c r="U66" s="2">
        <v>49.666699999999999</v>
      </c>
      <c r="V66" s="2">
        <f t="shared" ref="V66:V129" si="12">IFERROR(SQRT(U66*S66),0)</f>
        <v>24.413119423785236</v>
      </c>
      <c r="W66" s="2">
        <v>5</v>
      </c>
      <c r="X66" s="2">
        <f t="shared" ref="X66:X129" si="13">IFERROR(SQRT(S66*T66),0)</f>
        <v>16.970562748477139</v>
      </c>
      <c r="Y66" s="2">
        <v>23.5</v>
      </c>
      <c r="Z66" s="2">
        <f t="shared" ref="Z66:Z129" si="14">IFERROR(SQRT(S66*Y66),0)</f>
        <v>16.792855623746664</v>
      </c>
      <c r="AA66" s="2">
        <f t="shared" ref="AA66:AA129" si="15">IFERROR(SQRT(MAX(U66*S66-S66^2,0)),0)</f>
        <v>21.260301032675901</v>
      </c>
      <c r="AB66" s="2">
        <v>45.110999999999997</v>
      </c>
      <c r="AC66" s="2">
        <v>8</v>
      </c>
      <c r="AD66" s="2">
        <v>5</v>
      </c>
      <c r="AE66" s="2">
        <v>3</v>
      </c>
      <c r="AF66" s="2">
        <v>5</v>
      </c>
      <c r="AG66" s="2">
        <v>1</v>
      </c>
    </row>
    <row r="67" spans="1:33" x14ac:dyDescent="0.3">
      <c r="A67" s="2" t="s">
        <v>35</v>
      </c>
      <c r="B67" s="2" t="s">
        <v>230</v>
      </c>
      <c r="C67" s="2" t="s">
        <v>109</v>
      </c>
      <c r="D67" s="2" t="s">
        <v>231</v>
      </c>
      <c r="E67" s="2">
        <v>2014</v>
      </c>
      <c r="F67" s="2">
        <v>17</v>
      </c>
      <c r="G67" s="2">
        <v>1</v>
      </c>
      <c r="H67" s="2">
        <v>9</v>
      </c>
      <c r="I67" s="2">
        <v>3</v>
      </c>
      <c r="J67" s="2">
        <v>11</v>
      </c>
      <c r="K67" s="2">
        <f t="shared" ca="1" si="8"/>
        <v>12</v>
      </c>
      <c r="L67" s="2">
        <v>7</v>
      </c>
      <c r="M67" s="2">
        <v>6</v>
      </c>
      <c r="N67" s="2">
        <v>195</v>
      </c>
      <c r="O67" s="2">
        <f t="shared" ca="1" si="9"/>
        <v>0.58333333333333337</v>
      </c>
      <c r="P67" s="2">
        <f t="shared" ca="1" si="10"/>
        <v>76.37254901960786</v>
      </c>
      <c r="Q67" s="2">
        <v>4.7256</v>
      </c>
      <c r="R67" s="2">
        <f t="shared" si="11"/>
        <v>100.73882352941176</v>
      </c>
      <c r="S67" s="2">
        <v>7</v>
      </c>
      <c r="T67" s="2">
        <v>13</v>
      </c>
      <c r="U67" s="2">
        <v>26.714300000000001</v>
      </c>
      <c r="V67" s="2">
        <f t="shared" si="12"/>
        <v>13.674797987538975</v>
      </c>
      <c r="W67" s="2">
        <v>4</v>
      </c>
      <c r="X67" s="2">
        <f t="shared" si="13"/>
        <v>9.5393920141694561</v>
      </c>
      <c r="Y67" s="2">
        <v>19</v>
      </c>
      <c r="Z67" s="2">
        <f t="shared" si="14"/>
        <v>11.532562594670797</v>
      </c>
      <c r="AA67" s="2">
        <f t="shared" si="15"/>
        <v>11.747344380752613</v>
      </c>
      <c r="AB67" s="2">
        <v>23.280899999999999</v>
      </c>
      <c r="AC67" s="2">
        <v>6</v>
      </c>
      <c r="AD67" s="2">
        <v>6</v>
      </c>
      <c r="AE67" s="2">
        <v>1</v>
      </c>
      <c r="AF67" s="2">
        <v>0</v>
      </c>
      <c r="AG67" s="2">
        <v>1</v>
      </c>
    </row>
    <row r="68" spans="1:33" x14ac:dyDescent="0.3">
      <c r="A68" s="2" t="s">
        <v>35</v>
      </c>
      <c r="B68" s="2" t="s">
        <v>233</v>
      </c>
      <c r="C68" s="2" t="s">
        <v>99</v>
      </c>
      <c r="D68" s="2" t="s">
        <v>234</v>
      </c>
      <c r="E68" s="2">
        <v>2012</v>
      </c>
      <c r="F68" s="2">
        <v>37</v>
      </c>
      <c r="G68" s="2">
        <v>16</v>
      </c>
      <c r="H68" s="2">
        <v>10</v>
      </c>
      <c r="I68" s="2">
        <v>11</v>
      </c>
      <c r="J68" s="2">
        <v>15</v>
      </c>
      <c r="K68" s="2">
        <f t="shared" ca="1" si="8"/>
        <v>14</v>
      </c>
      <c r="L68" s="2">
        <v>11</v>
      </c>
      <c r="M68" s="2">
        <v>12</v>
      </c>
      <c r="N68" s="2">
        <v>424</v>
      </c>
      <c r="O68" s="2">
        <f t="shared" ca="1" si="9"/>
        <v>0.7857142857142857</v>
      </c>
      <c r="P68" s="2">
        <f t="shared" ca="1" si="10"/>
        <v>47.799227799227793</v>
      </c>
      <c r="Q68" s="2">
        <v>6.4104000000000001</v>
      </c>
      <c r="R68" s="2">
        <f t="shared" si="11"/>
        <v>63.001081081081075</v>
      </c>
      <c r="S68" s="2">
        <v>11</v>
      </c>
      <c r="T68" s="2">
        <v>20</v>
      </c>
      <c r="U68" s="2">
        <v>33.363599999999998</v>
      </c>
      <c r="V68" s="2">
        <f t="shared" si="12"/>
        <v>19.157233620750151</v>
      </c>
      <c r="W68" s="2">
        <v>5</v>
      </c>
      <c r="X68" s="2">
        <f t="shared" si="13"/>
        <v>14.832396974191326</v>
      </c>
      <c r="Y68" s="2">
        <v>20</v>
      </c>
      <c r="Z68" s="2">
        <f t="shared" si="14"/>
        <v>14.832396974191326</v>
      </c>
      <c r="AA68" s="2">
        <f t="shared" si="15"/>
        <v>15.684374389818677</v>
      </c>
      <c r="AB68" s="2">
        <v>37.815300000000001</v>
      </c>
      <c r="AC68" s="2">
        <v>9</v>
      </c>
      <c r="AD68" s="2">
        <v>4</v>
      </c>
      <c r="AE68" s="2">
        <v>4</v>
      </c>
      <c r="AF68" s="2">
        <v>4</v>
      </c>
      <c r="AG68" s="2">
        <v>5</v>
      </c>
    </row>
    <row r="69" spans="1:33" x14ac:dyDescent="0.3">
      <c r="A69" s="2" t="s">
        <v>35</v>
      </c>
      <c r="B69" s="2" t="s">
        <v>236</v>
      </c>
      <c r="C69" s="2" t="s">
        <v>43</v>
      </c>
      <c r="D69" s="2" t="s">
        <v>237</v>
      </c>
      <c r="E69" s="2">
        <v>2008</v>
      </c>
      <c r="F69" s="2">
        <v>19</v>
      </c>
      <c r="G69" s="2">
        <v>0</v>
      </c>
      <c r="H69" s="2">
        <v>19</v>
      </c>
      <c r="I69" s="2">
        <v>18</v>
      </c>
      <c r="J69" s="2">
        <v>19</v>
      </c>
      <c r="K69" s="2">
        <f t="shared" ca="1" si="8"/>
        <v>18</v>
      </c>
      <c r="L69" s="2">
        <v>3</v>
      </c>
      <c r="M69" s="2">
        <v>0</v>
      </c>
      <c r="N69" s="2">
        <v>17</v>
      </c>
      <c r="O69" s="2">
        <f t="shared" ca="1" si="9"/>
        <v>0.16666666666666666</v>
      </c>
      <c r="P69" s="2">
        <f t="shared" ca="1" si="10"/>
        <v>66.666666666666671</v>
      </c>
      <c r="Q69" s="2">
        <v>1.1840999999999999</v>
      </c>
      <c r="R69" s="2">
        <f t="shared" si="11"/>
        <v>72.021578947368425</v>
      </c>
      <c r="S69" s="2">
        <v>3</v>
      </c>
      <c r="T69" s="2">
        <v>4</v>
      </c>
      <c r="U69" s="2">
        <v>5.3333000000000004</v>
      </c>
      <c r="V69" s="2">
        <f t="shared" si="12"/>
        <v>3.9999874999804685</v>
      </c>
      <c r="W69" s="2">
        <v>2</v>
      </c>
      <c r="X69" s="2">
        <f t="shared" si="13"/>
        <v>3.4641016151377544</v>
      </c>
      <c r="Y69" s="2">
        <v>5</v>
      </c>
      <c r="Z69" s="2">
        <f t="shared" si="14"/>
        <v>3.872983346207417</v>
      </c>
      <c r="AA69" s="2">
        <f t="shared" si="15"/>
        <v>2.6457324127734458</v>
      </c>
      <c r="AB69" s="2">
        <v>5.1962000000000002</v>
      </c>
      <c r="AC69" s="2">
        <v>3</v>
      </c>
      <c r="AD69" s="2">
        <v>1</v>
      </c>
      <c r="AE69" s="2">
        <v>0</v>
      </c>
      <c r="AF69" s="2">
        <v>0</v>
      </c>
      <c r="AG69" s="2">
        <v>3</v>
      </c>
    </row>
    <row r="70" spans="1:33" x14ac:dyDescent="0.3">
      <c r="A70" s="2" t="s">
        <v>35</v>
      </c>
      <c r="B70" s="2" t="s">
        <v>239</v>
      </c>
      <c r="C70" s="2" t="s">
        <v>240</v>
      </c>
      <c r="D70" s="2" t="s">
        <v>241</v>
      </c>
      <c r="E70" s="2">
        <v>2012</v>
      </c>
      <c r="F70" s="2">
        <v>29</v>
      </c>
      <c r="G70" s="2">
        <v>0</v>
      </c>
      <c r="H70" s="2">
        <v>14</v>
      </c>
      <c r="I70" s="2">
        <v>6</v>
      </c>
      <c r="J70" s="2">
        <v>14</v>
      </c>
      <c r="K70" s="2">
        <f t="shared" ca="1" si="8"/>
        <v>14</v>
      </c>
      <c r="L70" s="2">
        <v>11</v>
      </c>
      <c r="M70" s="2">
        <v>11</v>
      </c>
      <c r="N70" s="2">
        <v>269</v>
      </c>
      <c r="O70" s="2">
        <f t="shared" ca="1" si="9"/>
        <v>0.7857142857142857</v>
      </c>
      <c r="P70" s="2">
        <f t="shared" ca="1" si="10"/>
        <v>64.778325123152698</v>
      </c>
      <c r="Q70" s="2">
        <v>4.8094000000000001</v>
      </c>
      <c r="R70" s="2">
        <f t="shared" si="11"/>
        <v>78.653103448275857</v>
      </c>
      <c r="S70" s="2">
        <v>11</v>
      </c>
      <c r="T70" s="2">
        <v>16</v>
      </c>
      <c r="U70" s="2">
        <v>21.909099999999999</v>
      </c>
      <c r="V70" s="2">
        <f t="shared" si="12"/>
        <v>15.52417791704282</v>
      </c>
      <c r="W70" s="2">
        <v>4</v>
      </c>
      <c r="X70" s="2">
        <f t="shared" si="13"/>
        <v>13.266499161421599</v>
      </c>
      <c r="Y70" s="2">
        <v>18</v>
      </c>
      <c r="Z70" s="2">
        <f t="shared" si="14"/>
        <v>14.071247279470288</v>
      </c>
      <c r="AA70" s="2">
        <f t="shared" si="15"/>
        <v>10.954455714457016</v>
      </c>
      <c r="AB70" s="2">
        <v>33.271599999999999</v>
      </c>
      <c r="AC70" s="2">
        <v>9</v>
      </c>
      <c r="AD70" s="2">
        <v>4</v>
      </c>
      <c r="AE70" s="2">
        <v>4</v>
      </c>
      <c r="AF70" s="2">
        <v>1</v>
      </c>
      <c r="AG70" s="2">
        <v>5</v>
      </c>
    </row>
    <row r="71" spans="1:33" x14ac:dyDescent="0.3">
      <c r="A71" s="2" t="s">
        <v>35</v>
      </c>
      <c r="B71" s="2" t="s">
        <v>243</v>
      </c>
      <c r="C71" s="2" t="s">
        <v>43</v>
      </c>
      <c r="D71" s="2" t="s">
        <v>244</v>
      </c>
      <c r="E71" s="2">
        <v>2007</v>
      </c>
      <c r="F71" s="2">
        <v>17</v>
      </c>
      <c r="G71" s="2">
        <v>0</v>
      </c>
      <c r="H71" s="2">
        <v>17</v>
      </c>
      <c r="I71" s="2">
        <v>17</v>
      </c>
      <c r="J71" s="2">
        <v>17</v>
      </c>
      <c r="K71" s="2">
        <f t="shared" ca="1" si="8"/>
        <v>19</v>
      </c>
      <c r="L71" s="2">
        <v>1</v>
      </c>
      <c r="M71" s="2">
        <v>0</v>
      </c>
      <c r="N71" s="2">
        <v>4</v>
      </c>
      <c r="O71" s="2">
        <f t="shared" ca="1" si="9"/>
        <v>5.2631578947368418E-2</v>
      </c>
      <c r="P71" s="2">
        <f t="shared" ca="1" si="10"/>
        <v>56.191950464396285</v>
      </c>
      <c r="Q71" s="2">
        <v>0.31619999999999998</v>
      </c>
      <c r="R71" s="2">
        <f t="shared" si="11"/>
        <v>57.742352941176478</v>
      </c>
      <c r="S71" s="2">
        <v>1</v>
      </c>
      <c r="T71" s="2">
        <v>1</v>
      </c>
      <c r="U71" s="2">
        <v>2</v>
      </c>
      <c r="V71" s="2">
        <f t="shared" si="12"/>
        <v>1.4142135623730951</v>
      </c>
      <c r="W71" s="2">
        <v>1</v>
      </c>
      <c r="X71" s="2">
        <f t="shared" si="13"/>
        <v>1</v>
      </c>
      <c r="Y71" s="2">
        <v>2</v>
      </c>
      <c r="Z71" s="2">
        <f t="shared" si="14"/>
        <v>1.4142135623730951</v>
      </c>
      <c r="AA71" s="2">
        <f t="shared" si="15"/>
        <v>1</v>
      </c>
      <c r="AB71" s="2">
        <v>1.4141999999999999</v>
      </c>
      <c r="AC71" s="2">
        <v>1</v>
      </c>
      <c r="AD71" s="2">
        <v>0</v>
      </c>
      <c r="AE71" s="2">
        <v>0</v>
      </c>
      <c r="AF71" s="2">
        <v>0</v>
      </c>
      <c r="AG71" s="2">
        <v>1</v>
      </c>
    </row>
    <row r="72" spans="1:33" x14ac:dyDescent="0.3">
      <c r="A72" s="2" t="s">
        <v>35</v>
      </c>
      <c r="B72" s="2" t="s">
        <v>246</v>
      </c>
      <c r="C72" s="2" t="s">
        <v>38</v>
      </c>
      <c r="D72" s="2" t="s">
        <v>247</v>
      </c>
      <c r="E72" s="2">
        <v>2003</v>
      </c>
      <c r="F72" s="2">
        <v>101</v>
      </c>
      <c r="G72" s="2">
        <v>25</v>
      </c>
      <c r="H72" s="2">
        <v>20</v>
      </c>
      <c r="I72" s="2">
        <v>35</v>
      </c>
      <c r="J72" s="2">
        <v>48</v>
      </c>
      <c r="K72" s="2">
        <f t="shared" ca="1" si="8"/>
        <v>23</v>
      </c>
      <c r="L72" s="2">
        <v>19</v>
      </c>
      <c r="M72" s="2">
        <v>28</v>
      </c>
      <c r="N72" s="2">
        <v>1626</v>
      </c>
      <c r="O72" s="2">
        <f t="shared" ca="1" si="9"/>
        <v>0.82608695652173914</v>
      </c>
      <c r="P72" s="2">
        <f t="shared" ca="1" si="10"/>
        <v>40.916917778734394</v>
      </c>
      <c r="Q72" s="2">
        <v>10.475</v>
      </c>
      <c r="R72" s="2">
        <f t="shared" si="11"/>
        <v>50.470297029702969</v>
      </c>
      <c r="S72" s="2">
        <v>19</v>
      </c>
      <c r="T72" s="2">
        <v>40</v>
      </c>
      <c r="U72" s="2">
        <v>73.789500000000004</v>
      </c>
      <c r="V72" s="2">
        <f t="shared" si="12"/>
        <v>37.443297130461147</v>
      </c>
      <c r="W72" s="2">
        <v>8</v>
      </c>
      <c r="X72" s="2">
        <f t="shared" si="13"/>
        <v>27.568097504180443</v>
      </c>
      <c r="Y72" s="2">
        <v>47</v>
      </c>
      <c r="Z72" s="2">
        <f t="shared" si="14"/>
        <v>29.883105594967869</v>
      </c>
      <c r="AA72" s="2">
        <f t="shared" si="15"/>
        <v>32.264539358249017</v>
      </c>
      <c r="AB72" s="2">
        <v>90.603499999999997</v>
      </c>
      <c r="AC72" s="2">
        <v>18</v>
      </c>
      <c r="AD72" s="2">
        <v>4</v>
      </c>
      <c r="AE72" s="2">
        <v>2</v>
      </c>
      <c r="AF72" s="2">
        <v>8</v>
      </c>
      <c r="AG72" s="2">
        <v>13</v>
      </c>
    </row>
    <row r="73" spans="1:33" x14ac:dyDescent="0.3">
      <c r="A73" s="2" t="s">
        <v>35</v>
      </c>
      <c r="B73" s="2" t="s">
        <v>249</v>
      </c>
      <c r="C73" s="2" t="s">
        <v>99</v>
      </c>
      <c r="D73" s="2" t="s">
        <v>250</v>
      </c>
      <c r="E73" s="2">
        <v>2009</v>
      </c>
      <c r="F73" s="2">
        <v>3</v>
      </c>
      <c r="G73" s="2">
        <v>1</v>
      </c>
      <c r="H73" s="2">
        <v>1</v>
      </c>
      <c r="I73" s="2">
        <v>1</v>
      </c>
      <c r="J73" s="2">
        <v>2</v>
      </c>
      <c r="K73" s="2">
        <f t="shared" ca="1" si="8"/>
        <v>17</v>
      </c>
      <c r="L73" s="2">
        <v>2</v>
      </c>
      <c r="M73" s="2">
        <v>1</v>
      </c>
      <c r="N73" s="2">
        <v>34</v>
      </c>
      <c r="O73" s="2">
        <f t="shared" ca="1" si="9"/>
        <v>0.11764705882352941</v>
      </c>
      <c r="P73" s="2">
        <f t="shared" ca="1" si="10"/>
        <v>100.58823529411765</v>
      </c>
      <c r="Q73" s="2">
        <v>1.7447999999999999</v>
      </c>
      <c r="R73" s="2">
        <f t="shared" si="11"/>
        <v>154.82666666666668</v>
      </c>
      <c r="S73" s="2">
        <v>2</v>
      </c>
      <c r="T73" s="2">
        <v>3</v>
      </c>
      <c r="U73" s="2">
        <v>17</v>
      </c>
      <c r="V73" s="2">
        <f t="shared" si="12"/>
        <v>5.8309518948453007</v>
      </c>
      <c r="W73" s="2">
        <v>2</v>
      </c>
      <c r="X73" s="2">
        <f t="shared" si="13"/>
        <v>2.4494897427831779</v>
      </c>
      <c r="Y73" s="2">
        <v>17</v>
      </c>
      <c r="Z73" s="2">
        <f t="shared" si="14"/>
        <v>5.8309518948453007</v>
      </c>
      <c r="AA73" s="2">
        <f t="shared" si="15"/>
        <v>5.4772255750516612</v>
      </c>
      <c r="AB73" s="2">
        <v>6.4806999999999997</v>
      </c>
      <c r="AC73" s="2">
        <v>2</v>
      </c>
      <c r="AD73" s="2">
        <v>1</v>
      </c>
      <c r="AE73" s="2">
        <v>0</v>
      </c>
      <c r="AF73" s="2">
        <v>0</v>
      </c>
      <c r="AG73" s="2">
        <v>1</v>
      </c>
    </row>
    <row r="74" spans="1:33" x14ac:dyDescent="0.3">
      <c r="A74" s="2" t="s">
        <v>35</v>
      </c>
      <c r="B74" s="2" t="s">
        <v>252</v>
      </c>
      <c r="C74" s="2" t="s">
        <v>187</v>
      </c>
      <c r="D74" s="2" t="s">
        <v>253</v>
      </c>
      <c r="E74" s="2">
        <v>2017</v>
      </c>
      <c r="F74" s="2">
        <v>3</v>
      </c>
      <c r="G74" s="2">
        <v>1</v>
      </c>
      <c r="H74" s="2">
        <v>2</v>
      </c>
      <c r="I74" s="2">
        <v>2</v>
      </c>
      <c r="J74" s="2">
        <v>3</v>
      </c>
      <c r="K74" s="2">
        <f t="shared" ca="1" si="8"/>
        <v>9</v>
      </c>
      <c r="L74" s="2">
        <v>2</v>
      </c>
      <c r="M74" s="2">
        <v>1</v>
      </c>
      <c r="N74" s="2">
        <v>52</v>
      </c>
      <c r="O74" s="2">
        <f t="shared" ca="1" si="9"/>
        <v>0.22222222222222221</v>
      </c>
      <c r="P74" s="2">
        <f t="shared" ca="1" si="10"/>
        <v>120.74074074074075</v>
      </c>
      <c r="Q74" s="2">
        <v>4.8061999999999996</v>
      </c>
      <c r="R74" s="2">
        <f t="shared" si="11"/>
        <v>273.53999999999996</v>
      </c>
      <c r="S74" s="2">
        <v>2</v>
      </c>
      <c r="T74" s="2">
        <v>3</v>
      </c>
      <c r="U74" s="2">
        <v>25.5</v>
      </c>
      <c r="V74" s="2">
        <f t="shared" si="12"/>
        <v>7.1414284285428504</v>
      </c>
      <c r="W74" s="2">
        <v>2</v>
      </c>
      <c r="X74" s="2">
        <f t="shared" si="13"/>
        <v>2.4494897427831779</v>
      </c>
      <c r="Y74" s="2">
        <v>25.5</v>
      </c>
      <c r="Z74" s="2">
        <f t="shared" si="14"/>
        <v>7.1414284285428504</v>
      </c>
      <c r="AA74" s="2">
        <f t="shared" si="15"/>
        <v>6.8556546004010439</v>
      </c>
      <c r="AB74" s="2">
        <v>7.5498000000000003</v>
      </c>
      <c r="AC74" s="2">
        <v>2</v>
      </c>
      <c r="AD74" s="2">
        <v>1</v>
      </c>
      <c r="AE74" s="2">
        <v>0</v>
      </c>
      <c r="AF74" s="2">
        <v>0</v>
      </c>
      <c r="AG74" s="2">
        <v>2</v>
      </c>
    </row>
    <row r="75" spans="1:33" x14ac:dyDescent="0.3">
      <c r="A75" s="2" t="s">
        <v>35</v>
      </c>
      <c r="B75" s="2" t="s">
        <v>255</v>
      </c>
      <c r="C75" s="2" t="s">
        <v>55</v>
      </c>
      <c r="D75" s="2" t="s">
        <v>256</v>
      </c>
      <c r="E75" s="2">
        <v>1962</v>
      </c>
      <c r="F75" s="2">
        <v>44</v>
      </c>
      <c r="G75" s="2">
        <v>1</v>
      </c>
      <c r="H75" s="2">
        <v>43</v>
      </c>
      <c r="I75" s="2">
        <v>42</v>
      </c>
      <c r="J75" s="2">
        <v>43</v>
      </c>
      <c r="K75" s="2">
        <f t="shared" ca="1" si="8"/>
        <v>64</v>
      </c>
      <c r="L75" s="2">
        <v>3</v>
      </c>
      <c r="M75" s="2">
        <v>1</v>
      </c>
      <c r="N75" s="2">
        <v>41</v>
      </c>
      <c r="O75" s="2">
        <f t="shared" ca="1" si="9"/>
        <v>4.6875E-2</v>
      </c>
      <c r="P75" s="2">
        <f t="shared" ca="1" si="10"/>
        <v>55.561079545454547</v>
      </c>
      <c r="Q75" s="2">
        <v>0.93989999999999996</v>
      </c>
      <c r="R75" s="2">
        <f t="shared" si="11"/>
        <v>57.590681818181821</v>
      </c>
      <c r="S75" s="2">
        <v>3</v>
      </c>
      <c r="T75" s="2">
        <v>5</v>
      </c>
      <c r="U75" s="2">
        <v>9.6667000000000005</v>
      </c>
      <c r="V75" s="2">
        <f t="shared" si="12"/>
        <v>5.3851740918934095</v>
      </c>
      <c r="W75" s="2">
        <v>2</v>
      </c>
      <c r="X75" s="2">
        <f t="shared" si="13"/>
        <v>3.872983346207417</v>
      </c>
      <c r="Y75" s="2">
        <v>4</v>
      </c>
      <c r="Z75" s="2">
        <f t="shared" si="14"/>
        <v>3.4641016151377544</v>
      </c>
      <c r="AA75" s="2">
        <f t="shared" si="15"/>
        <v>4.4721471353254918</v>
      </c>
      <c r="AB75" s="2">
        <v>6.4031000000000002</v>
      </c>
      <c r="AC75" s="2">
        <v>3</v>
      </c>
      <c r="AD75" s="2">
        <v>0</v>
      </c>
      <c r="AE75" s="2">
        <v>0</v>
      </c>
      <c r="AF75" s="2">
        <v>0</v>
      </c>
      <c r="AG75" s="2">
        <v>3</v>
      </c>
    </row>
    <row r="76" spans="1:33" x14ac:dyDescent="0.3">
      <c r="A76" s="2" t="s">
        <v>35</v>
      </c>
      <c r="B76" s="2" t="s">
        <v>258</v>
      </c>
      <c r="C76" s="2" t="s">
        <v>55</v>
      </c>
      <c r="D76" s="2" t="s">
        <v>259</v>
      </c>
      <c r="E76" s="2">
        <v>2013</v>
      </c>
      <c r="F76" s="2">
        <v>1</v>
      </c>
      <c r="G76" s="2">
        <v>0</v>
      </c>
      <c r="H76" s="2">
        <v>1</v>
      </c>
      <c r="I76" s="2">
        <v>1</v>
      </c>
      <c r="J76" s="2">
        <v>1</v>
      </c>
      <c r="K76" s="2">
        <f t="shared" ca="1" si="8"/>
        <v>13</v>
      </c>
      <c r="L76" s="2">
        <v>1</v>
      </c>
      <c r="M76" s="2">
        <v>0</v>
      </c>
      <c r="N76" s="2">
        <v>2</v>
      </c>
      <c r="O76" s="2">
        <f t="shared" ca="1" si="9"/>
        <v>7.6923076923076927E-2</v>
      </c>
      <c r="P76" s="2">
        <f t="shared" ca="1" si="10"/>
        <v>157.69230769230768</v>
      </c>
      <c r="Q76" s="2">
        <v>0.378</v>
      </c>
      <c r="R76" s="2">
        <f t="shared" si="11"/>
        <v>187.8</v>
      </c>
      <c r="S76" s="2">
        <v>1</v>
      </c>
      <c r="T76" s="2">
        <v>1</v>
      </c>
      <c r="U76" s="2">
        <v>2</v>
      </c>
      <c r="V76" s="2">
        <f t="shared" si="12"/>
        <v>1.4142135623730951</v>
      </c>
      <c r="W76" s="2">
        <v>1</v>
      </c>
      <c r="X76" s="2">
        <f t="shared" si="13"/>
        <v>1</v>
      </c>
      <c r="Y76" s="2">
        <v>2</v>
      </c>
      <c r="Z76" s="2">
        <f t="shared" si="14"/>
        <v>1.4142135623730951</v>
      </c>
      <c r="AA76" s="2">
        <f t="shared" si="15"/>
        <v>1</v>
      </c>
      <c r="AB76" s="2">
        <v>1.4141999999999999</v>
      </c>
      <c r="AC76" s="2">
        <v>1</v>
      </c>
      <c r="AD76" s="2">
        <v>0</v>
      </c>
      <c r="AE76" s="2">
        <v>0</v>
      </c>
      <c r="AF76" s="2">
        <v>0</v>
      </c>
      <c r="AG76" s="2">
        <v>1</v>
      </c>
    </row>
    <row r="77" spans="1:33" x14ac:dyDescent="0.3">
      <c r="A77" s="2" t="s">
        <v>35</v>
      </c>
      <c r="B77" s="2" t="s">
        <v>261</v>
      </c>
      <c r="C77" s="2" t="s">
        <v>67</v>
      </c>
      <c r="D77" s="2" t="s">
        <v>262</v>
      </c>
      <c r="E77" s="2">
        <v>2012</v>
      </c>
      <c r="F77" s="2">
        <v>6</v>
      </c>
      <c r="G77" s="2">
        <v>3</v>
      </c>
      <c r="H77" s="2">
        <v>0</v>
      </c>
      <c r="I77" s="2">
        <v>0</v>
      </c>
      <c r="J77" s="2">
        <v>0</v>
      </c>
      <c r="K77" s="2">
        <f t="shared" ca="1" si="8"/>
        <v>14</v>
      </c>
      <c r="L77" s="2">
        <v>4</v>
      </c>
      <c r="M77" s="2">
        <v>4</v>
      </c>
      <c r="N77" s="2">
        <v>69</v>
      </c>
      <c r="O77" s="2">
        <f t="shared" ca="1" si="9"/>
        <v>0.2857142857142857</v>
      </c>
      <c r="P77" s="2">
        <f t="shared" ca="1" si="10"/>
        <v>66.428571428571431</v>
      </c>
      <c r="Q77" s="2">
        <v>2.2986</v>
      </c>
      <c r="R77" s="2">
        <f t="shared" si="11"/>
        <v>99.976666666666674</v>
      </c>
      <c r="S77" s="2">
        <v>4</v>
      </c>
      <c r="T77" s="2">
        <v>6</v>
      </c>
      <c r="U77" s="2">
        <v>17</v>
      </c>
      <c r="V77" s="2">
        <f t="shared" si="12"/>
        <v>8.2462112512353212</v>
      </c>
      <c r="W77" s="2">
        <v>3</v>
      </c>
      <c r="X77" s="2">
        <f t="shared" si="13"/>
        <v>4.8989794855663558</v>
      </c>
      <c r="Y77" s="2">
        <v>16.5</v>
      </c>
      <c r="Z77" s="2">
        <f t="shared" si="14"/>
        <v>8.1240384046359608</v>
      </c>
      <c r="AA77" s="2">
        <f t="shared" si="15"/>
        <v>7.2111025509279782</v>
      </c>
      <c r="AB77" s="2">
        <v>12.609500000000001</v>
      </c>
      <c r="AC77" s="2">
        <v>4</v>
      </c>
      <c r="AD77" s="2">
        <v>0</v>
      </c>
      <c r="AE77" s="2">
        <v>3</v>
      </c>
      <c r="AF77" s="2">
        <v>1</v>
      </c>
      <c r="AG77" s="2">
        <v>0</v>
      </c>
    </row>
    <row r="78" spans="1:33" x14ac:dyDescent="0.3">
      <c r="A78" s="2" t="s">
        <v>35</v>
      </c>
      <c r="B78" s="2" t="s">
        <v>264</v>
      </c>
      <c r="C78" s="2" t="s">
        <v>128</v>
      </c>
      <c r="D78" s="2" t="s">
        <v>265</v>
      </c>
      <c r="E78" s="2">
        <v>2012</v>
      </c>
      <c r="F78" s="2">
        <v>11</v>
      </c>
      <c r="G78" s="2">
        <v>0</v>
      </c>
      <c r="H78" s="2">
        <v>4</v>
      </c>
      <c r="I78" s="2">
        <v>5</v>
      </c>
      <c r="J78" s="2">
        <v>5</v>
      </c>
      <c r="K78" s="2">
        <f t="shared" ca="1" si="8"/>
        <v>14</v>
      </c>
      <c r="L78" s="2">
        <v>3</v>
      </c>
      <c r="M78" s="2">
        <v>2</v>
      </c>
      <c r="N78" s="2">
        <v>55</v>
      </c>
      <c r="O78" s="2">
        <f t="shared" ca="1" si="9"/>
        <v>0.21428571428571427</v>
      </c>
      <c r="P78" s="2">
        <f t="shared" ca="1" si="10"/>
        <v>51.948051948051955</v>
      </c>
      <c r="Q78" s="2">
        <v>3.0381999999999998</v>
      </c>
      <c r="R78" s="2">
        <f t="shared" si="11"/>
        <v>77.62</v>
      </c>
      <c r="S78" s="2">
        <v>3</v>
      </c>
      <c r="T78" s="2">
        <v>7</v>
      </c>
      <c r="U78" s="2">
        <v>16</v>
      </c>
      <c r="V78" s="2">
        <f t="shared" si="12"/>
        <v>6.9282032302755088</v>
      </c>
      <c r="W78" s="2">
        <v>2</v>
      </c>
      <c r="X78" s="2">
        <f t="shared" si="13"/>
        <v>4.5825756949558398</v>
      </c>
      <c r="Y78" s="2">
        <v>10</v>
      </c>
      <c r="Z78" s="2">
        <f t="shared" si="14"/>
        <v>5.4772255750516612</v>
      </c>
      <c r="AA78" s="2">
        <f t="shared" si="15"/>
        <v>6.2449979983983983</v>
      </c>
      <c r="AB78" s="2">
        <v>8</v>
      </c>
      <c r="AC78" s="2">
        <v>3</v>
      </c>
      <c r="AD78" s="2">
        <v>0</v>
      </c>
      <c r="AE78" s="2">
        <v>2</v>
      </c>
      <c r="AF78" s="2">
        <v>1</v>
      </c>
      <c r="AG78" s="2">
        <v>2</v>
      </c>
    </row>
    <row r="79" spans="1:33" x14ac:dyDescent="0.3">
      <c r="A79" s="2" t="s">
        <v>35</v>
      </c>
      <c r="B79" s="2" t="s">
        <v>267</v>
      </c>
      <c r="C79" s="2" t="s">
        <v>91</v>
      </c>
      <c r="D79" s="2" t="s">
        <v>268</v>
      </c>
      <c r="E79" s="2">
        <v>1971</v>
      </c>
      <c r="F79" s="2">
        <v>401</v>
      </c>
      <c r="G79" s="2">
        <v>119</v>
      </c>
      <c r="H79" s="2">
        <v>75</v>
      </c>
      <c r="I79" s="2">
        <v>38</v>
      </c>
      <c r="J79" s="2">
        <v>89</v>
      </c>
      <c r="K79" s="2">
        <f t="shared" ca="1" si="8"/>
        <v>55</v>
      </c>
      <c r="L79" s="2">
        <v>37</v>
      </c>
      <c r="M79" s="2">
        <v>129</v>
      </c>
      <c r="N79" s="2">
        <v>6566</v>
      </c>
      <c r="O79" s="2">
        <f t="shared" ca="1" si="9"/>
        <v>0.67272727272727273</v>
      </c>
      <c r="P79" s="2">
        <f t="shared" ca="1" si="10"/>
        <v>17.52437089095443</v>
      </c>
      <c r="Q79" s="2">
        <v>17.714200000000002</v>
      </c>
      <c r="R79" s="2">
        <f t="shared" si="11"/>
        <v>21.77411471321696</v>
      </c>
      <c r="S79" s="2">
        <v>37</v>
      </c>
      <c r="T79" s="2">
        <v>71</v>
      </c>
      <c r="U79" s="2">
        <v>109.973</v>
      </c>
      <c r="V79" s="2">
        <f t="shared" si="12"/>
        <v>63.788721573644978</v>
      </c>
      <c r="W79" s="2">
        <v>10</v>
      </c>
      <c r="X79" s="2">
        <f t="shared" si="13"/>
        <v>51.254268114957995</v>
      </c>
      <c r="Y79" s="2">
        <v>75</v>
      </c>
      <c r="Z79" s="2">
        <f t="shared" si="14"/>
        <v>52.678268764263692</v>
      </c>
      <c r="AA79" s="2">
        <f t="shared" si="15"/>
        <v>51.961533849569911</v>
      </c>
      <c r="AB79" s="2">
        <v>216.89400000000001</v>
      </c>
      <c r="AC79" s="2">
        <v>25</v>
      </c>
      <c r="AD79" s="2">
        <v>16</v>
      </c>
      <c r="AE79" s="2">
        <v>18</v>
      </c>
      <c r="AF79" s="2">
        <v>29</v>
      </c>
      <c r="AG79" s="2">
        <v>9</v>
      </c>
    </row>
    <row r="80" spans="1:33" x14ac:dyDescent="0.3">
      <c r="A80" s="2" t="s">
        <v>35</v>
      </c>
      <c r="B80" s="2" t="s">
        <v>270</v>
      </c>
      <c r="C80" s="2" t="s">
        <v>109</v>
      </c>
      <c r="D80" s="2" t="s">
        <v>271</v>
      </c>
      <c r="E80" s="2">
        <v>2010</v>
      </c>
      <c r="F80" s="2">
        <v>80</v>
      </c>
      <c r="G80" s="2">
        <v>1</v>
      </c>
      <c r="H80" s="2">
        <v>11</v>
      </c>
      <c r="I80" s="2">
        <v>14</v>
      </c>
      <c r="J80" s="2">
        <v>23</v>
      </c>
      <c r="K80" s="2">
        <f t="shared" ca="1" si="8"/>
        <v>16</v>
      </c>
      <c r="L80" s="2">
        <v>11</v>
      </c>
      <c r="M80" s="2">
        <v>14</v>
      </c>
      <c r="N80" s="2">
        <v>690</v>
      </c>
      <c r="O80" s="2">
        <f t="shared" ca="1" si="9"/>
        <v>0.6875</v>
      </c>
      <c r="P80" s="2">
        <f t="shared" ca="1" si="10"/>
        <v>28.859375</v>
      </c>
      <c r="Q80" s="2">
        <v>8.7452000000000005</v>
      </c>
      <c r="R80" s="2">
        <f t="shared" si="11"/>
        <v>38.9315</v>
      </c>
      <c r="S80" s="2">
        <v>12</v>
      </c>
      <c r="T80" s="2">
        <v>24</v>
      </c>
      <c r="U80" s="2">
        <v>43.75</v>
      </c>
      <c r="V80" s="2">
        <f t="shared" si="12"/>
        <v>22.912878474779198</v>
      </c>
      <c r="W80" s="2">
        <v>5</v>
      </c>
      <c r="X80" s="2">
        <f t="shared" si="13"/>
        <v>16.970562748477139</v>
      </c>
      <c r="Y80" s="2">
        <v>26</v>
      </c>
      <c r="Z80" s="2">
        <f t="shared" si="14"/>
        <v>17.663521732655695</v>
      </c>
      <c r="AA80" s="2">
        <f t="shared" si="15"/>
        <v>19.519221295943137</v>
      </c>
      <c r="AB80" s="2">
        <v>42.755099999999999</v>
      </c>
      <c r="AC80" s="2">
        <v>9</v>
      </c>
      <c r="AD80" s="2">
        <v>4</v>
      </c>
      <c r="AE80" s="2">
        <v>8</v>
      </c>
      <c r="AF80" s="2">
        <v>4</v>
      </c>
      <c r="AG80" s="2">
        <v>6</v>
      </c>
    </row>
    <row r="81" spans="1:33" x14ac:dyDescent="0.3">
      <c r="A81" s="2" t="s">
        <v>35</v>
      </c>
      <c r="B81" s="2" t="s">
        <v>273</v>
      </c>
      <c r="C81" s="2" t="s">
        <v>55</v>
      </c>
      <c r="D81" s="2" t="s">
        <v>274</v>
      </c>
      <c r="E81" s="2">
        <v>2007</v>
      </c>
      <c r="F81" s="2">
        <v>18</v>
      </c>
      <c r="G81" s="2">
        <v>0</v>
      </c>
      <c r="H81" s="2">
        <v>17</v>
      </c>
      <c r="I81" s="2">
        <v>16</v>
      </c>
      <c r="J81" s="2">
        <v>17</v>
      </c>
      <c r="K81" s="2">
        <f t="shared" ca="1" si="8"/>
        <v>19</v>
      </c>
      <c r="L81" s="2">
        <v>2</v>
      </c>
      <c r="M81" s="2">
        <v>0</v>
      </c>
      <c r="N81" s="2">
        <v>11</v>
      </c>
      <c r="O81" s="2">
        <f t="shared" ca="1" si="9"/>
        <v>0.10526315789473684</v>
      </c>
      <c r="P81" s="2">
        <f t="shared" ca="1" si="10"/>
        <v>58.918128654970758</v>
      </c>
      <c r="Q81" s="2">
        <v>1.0284</v>
      </c>
      <c r="R81" s="2">
        <f t="shared" si="11"/>
        <v>64.046666666666667</v>
      </c>
      <c r="S81" s="2">
        <v>2</v>
      </c>
      <c r="T81" s="2">
        <v>3</v>
      </c>
      <c r="U81" s="2">
        <v>3.5</v>
      </c>
      <c r="V81" s="2">
        <f t="shared" si="12"/>
        <v>2.6457513110645907</v>
      </c>
      <c r="W81" s="2">
        <v>1</v>
      </c>
      <c r="X81" s="2">
        <f t="shared" si="13"/>
        <v>2.4494897427831779</v>
      </c>
      <c r="Y81" s="2">
        <v>3.5</v>
      </c>
      <c r="Z81" s="2">
        <f t="shared" si="14"/>
        <v>2.6457513110645907</v>
      </c>
      <c r="AA81" s="2">
        <f t="shared" si="15"/>
        <v>1.7320508075688772</v>
      </c>
      <c r="AB81" s="2">
        <v>3.1623000000000001</v>
      </c>
      <c r="AC81" s="2">
        <v>2</v>
      </c>
      <c r="AD81" s="2">
        <v>0</v>
      </c>
      <c r="AE81" s="2">
        <v>1</v>
      </c>
      <c r="AF81" s="2">
        <v>0</v>
      </c>
      <c r="AG81" s="2">
        <v>2</v>
      </c>
    </row>
    <row r="82" spans="1:33" x14ac:dyDescent="0.3">
      <c r="A82" s="2" t="s">
        <v>35</v>
      </c>
      <c r="B82" s="2" t="s">
        <v>1073</v>
      </c>
      <c r="C82" s="2" t="s">
        <v>55</v>
      </c>
      <c r="D82" s="2" t="s">
        <v>1074</v>
      </c>
      <c r="E82" s="2">
        <v>2020</v>
      </c>
      <c r="F82" s="2">
        <v>1</v>
      </c>
      <c r="G82" s="2">
        <v>0</v>
      </c>
      <c r="H82" s="2">
        <v>1</v>
      </c>
      <c r="I82" s="2">
        <v>1</v>
      </c>
      <c r="J82" s="2">
        <v>1</v>
      </c>
      <c r="K82" s="2">
        <f t="shared" ca="1" si="8"/>
        <v>6</v>
      </c>
      <c r="L82" s="2">
        <v>0</v>
      </c>
      <c r="M82" s="2">
        <v>0</v>
      </c>
      <c r="N82" s="2">
        <v>0</v>
      </c>
      <c r="O82" s="2">
        <f t="shared" ca="1" si="9"/>
        <v>0</v>
      </c>
      <c r="P82" s="2">
        <f t="shared" ca="1" si="10"/>
        <v>50</v>
      </c>
      <c r="Q82" s="2">
        <v>0</v>
      </c>
      <c r="R82" s="2">
        <f t="shared" si="11"/>
        <v>50</v>
      </c>
      <c r="S82" s="2">
        <v>0</v>
      </c>
      <c r="T82" s="2">
        <v>0</v>
      </c>
      <c r="U82" s="2">
        <v>0</v>
      </c>
      <c r="V82" s="2">
        <f t="shared" si="12"/>
        <v>0</v>
      </c>
      <c r="W82" s="2">
        <v>0</v>
      </c>
      <c r="X82" s="2">
        <f t="shared" si="13"/>
        <v>0</v>
      </c>
      <c r="Y82" s="2">
        <v>0</v>
      </c>
      <c r="Z82" s="2">
        <f t="shared" si="14"/>
        <v>0</v>
      </c>
      <c r="AA82" s="2">
        <f t="shared" si="15"/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x14ac:dyDescent="0.3">
      <c r="A83" s="2" t="s">
        <v>35</v>
      </c>
      <c r="B83" s="2" t="s">
        <v>276</v>
      </c>
      <c r="C83" s="2" t="s">
        <v>277</v>
      </c>
      <c r="D83" s="2" t="s">
        <v>278</v>
      </c>
      <c r="E83" s="2">
        <v>1993</v>
      </c>
      <c r="F83" s="2">
        <v>72</v>
      </c>
      <c r="G83" s="2">
        <v>26</v>
      </c>
      <c r="H83" s="2">
        <v>14</v>
      </c>
      <c r="I83" s="2">
        <v>17</v>
      </c>
      <c r="J83" s="2">
        <v>31</v>
      </c>
      <c r="K83" s="2">
        <f t="shared" ca="1" si="8"/>
        <v>33</v>
      </c>
      <c r="L83" s="2">
        <v>32</v>
      </c>
      <c r="M83" s="2">
        <v>46</v>
      </c>
      <c r="N83" s="2">
        <v>3421</v>
      </c>
      <c r="O83" s="2">
        <f t="shared" ca="1" si="9"/>
        <v>0.96969696969696972</v>
      </c>
      <c r="P83" s="2">
        <f t="shared" ca="1" si="10"/>
        <v>63.70791245791245</v>
      </c>
      <c r="Q83" s="2">
        <v>11.9709</v>
      </c>
      <c r="R83" s="2">
        <f t="shared" si="11"/>
        <v>78.987361111111113</v>
      </c>
      <c r="S83" s="2">
        <v>31</v>
      </c>
      <c r="T83" s="2">
        <v>57</v>
      </c>
      <c r="U83" s="2">
        <v>98.161299999999997</v>
      </c>
      <c r="V83" s="2">
        <f t="shared" si="12"/>
        <v>55.163396378395696</v>
      </c>
      <c r="W83" s="2">
        <v>9</v>
      </c>
      <c r="X83" s="2">
        <f t="shared" si="13"/>
        <v>42.035699113967404</v>
      </c>
      <c r="Y83" s="2">
        <v>64</v>
      </c>
      <c r="Z83" s="2">
        <f t="shared" si="14"/>
        <v>44.542114902640172</v>
      </c>
      <c r="AA83" s="2">
        <f t="shared" si="15"/>
        <v>45.628941473586693</v>
      </c>
      <c r="AB83" s="2">
        <v>177.2851</v>
      </c>
      <c r="AC83" s="2">
        <v>21</v>
      </c>
      <c r="AD83" s="2">
        <v>8</v>
      </c>
      <c r="AE83" s="2">
        <v>0</v>
      </c>
      <c r="AF83" s="2">
        <v>22</v>
      </c>
      <c r="AG83" s="2">
        <v>11</v>
      </c>
    </row>
    <row r="84" spans="1:33" x14ac:dyDescent="0.3">
      <c r="A84" s="2" t="s">
        <v>35</v>
      </c>
      <c r="B84" s="2" t="s">
        <v>1075</v>
      </c>
      <c r="C84" s="2" t="s">
        <v>43</v>
      </c>
      <c r="D84" s="2" t="s">
        <v>1076</v>
      </c>
      <c r="E84" s="2">
        <v>2024</v>
      </c>
      <c r="F84" s="2">
        <v>2</v>
      </c>
      <c r="G84" s="2">
        <v>0</v>
      </c>
      <c r="H84" s="2">
        <v>1</v>
      </c>
      <c r="I84" s="2">
        <v>1</v>
      </c>
      <c r="J84" s="2">
        <v>1</v>
      </c>
      <c r="K84" s="2">
        <f t="shared" ca="1" si="8"/>
        <v>2</v>
      </c>
      <c r="L84" s="2">
        <v>0</v>
      </c>
      <c r="M84" s="2">
        <v>0</v>
      </c>
      <c r="N84" s="2">
        <v>0</v>
      </c>
      <c r="O84" s="2">
        <f t="shared" ca="1" si="9"/>
        <v>0</v>
      </c>
      <c r="P84" s="2">
        <f t="shared" ca="1" si="10"/>
        <v>25</v>
      </c>
      <c r="Q84" s="2">
        <v>0</v>
      </c>
      <c r="R84" s="2">
        <f t="shared" si="11"/>
        <v>25</v>
      </c>
      <c r="S84" s="2">
        <v>0</v>
      </c>
      <c r="T84" s="2">
        <v>0</v>
      </c>
      <c r="U84" s="2">
        <v>0</v>
      </c>
      <c r="V84" s="2">
        <f t="shared" si="12"/>
        <v>0</v>
      </c>
      <c r="W84" s="2">
        <v>0</v>
      </c>
      <c r="X84" s="2">
        <f t="shared" si="13"/>
        <v>0</v>
      </c>
      <c r="Y84" s="2">
        <v>0</v>
      </c>
      <c r="Z84" s="2">
        <f t="shared" si="14"/>
        <v>0</v>
      </c>
      <c r="AA84" s="2">
        <f t="shared" si="15"/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x14ac:dyDescent="0.3">
      <c r="A85" s="2" t="s">
        <v>35</v>
      </c>
      <c r="B85" s="2" t="s">
        <v>280</v>
      </c>
      <c r="C85" s="2" t="s">
        <v>55</v>
      </c>
      <c r="D85" s="2" t="s">
        <v>281</v>
      </c>
      <c r="E85" s="2">
        <v>2000</v>
      </c>
      <c r="F85" s="2">
        <v>24</v>
      </c>
      <c r="G85" s="2">
        <v>0</v>
      </c>
      <c r="H85" s="2">
        <v>23</v>
      </c>
      <c r="I85" s="2">
        <v>23</v>
      </c>
      <c r="J85" s="2">
        <v>23</v>
      </c>
      <c r="K85" s="2">
        <f t="shared" ca="1" si="8"/>
        <v>26</v>
      </c>
      <c r="L85" s="2">
        <v>3</v>
      </c>
      <c r="M85" s="2">
        <v>1</v>
      </c>
      <c r="N85" s="2">
        <v>40</v>
      </c>
      <c r="O85" s="2">
        <f t="shared" ca="1" si="9"/>
        <v>0.11538461538461539</v>
      </c>
      <c r="P85" s="2">
        <f t="shared" ca="1" si="10"/>
        <v>60.897435897435898</v>
      </c>
      <c r="Q85" s="2">
        <v>1.7423999999999999</v>
      </c>
      <c r="R85" s="2">
        <f t="shared" si="11"/>
        <v>67.676666666666677</v>
      </c>
      <c r="S85" s="2">
        <v>3</v>
      </c>
      <c r="T85" s="2">
        <v>6</v>
      </c>
      <c r="U85" s="2">
        <v>10.666700000000001</v>
      </c>
      <c r="V85" s="2">
        <f t="shared" si="12"/>
        <v>5.6568630883202404</v>
      </c>
      <c r="W85" s="2">
        <v>2</v>
      </c>
      <c r="X85" s="2">
        <f t="shared" si="13"/>
        <v>4.2426406871192848</v>
      </c>
      <c r="Y85" s="2">
        <v>6</v>
      </c>
      <c r="Z85" s="2">
        <f t="shared" si="14"/>
        <v>4.2426406871192848</v>
      </c>
      <c r="AA85" s="2">
        <f t="shared" si="15"/>
        <v>4.7958419490220905</v>
      </c>
      <c r="AB85" s="2">
        <v>6.6332000000000004</v>
      </c>
      <c r="AC85" s="2">
        <v>3</v>
      </c>
      <c r="AD85" s="2">
        <v>0</v>
      </c>
      <c r="AE85" s="2">
        <v>0</v>
      </c>
      <c r="AF85" s="2">
        <v>1</v>
      </c>
      <c r="AG85" s="2">
        <v>3</v>
      </c>
    </row>
    <row r="86" spans="1:33" x14ac:dyDescent="0.3">
      <c r="A86" s="2" t="s">
        <v>35</v>
      </c>
      <c r="B86" s="2" t="s">
        <v>283</v>
      </c>
      <c r="C86" s="2" t="s">
        <v>91</v>
      </c>
      <c r="D86" s="2" t="s">
        <v>284</v>
      </c>
      <c r="E86" s="2">
        <v>2016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f t="shared" ca="1" si="8"/>
        <v>10</v>
      </c>
      <c r="L86" s="2">
        <v>1</v>
      </c>
      <c r="M86" s="2">
        <v>0</v>
      </c>
      <c r="N86" s="2">
        <v>1</v>
      </c>
      <c r="O86" s="2">
        <f t="shared" ca="1" si="9"/>
        <v>0.1</v>
      </c>
      <c r="P86" s="2">
        <f t="shared" ca="1" si="10"/>
        <v>110.00000000000001</v>
      </c>
      <c r="Q86" s="2">
        <v>0.30149999999999999</v>
      </c>
      <c r="R86" s="2">
        <f t="shared" si="11"/>
        <v>130.14999999999998</v>
      </c>
      <c r="S86" s="2">
        <v>1</v>
      </c>
      <c r="T86" s="2">
        <v>1</v>
      </c>
      <c r="U86" s="2">
        <v>1</v>
      </c>
      <c r="V86" s="2">
        <f t="shared" si="12"/>
        <v>1</v>
      </c>
      <c r="W86" s="2">
        <v>1</v>
      </c>
      <c r="X86" s="2">
        <f t="shared" si="13"/>
        <v>1</v>
      </c>
      <c r="Y86" s="2">
        <v>1</v>
      </c>
      <c r="Z86" s="2">
        <f t="shared" si="14"/>
        <v>1</v>
      </c>
      <c r="AA86" s="2">
        <f t="shared" si="15"/>
        <v>0</v>
      </c>
      <c r="AB86" s="2">
        <v>1</v>
      </c>
      <c r="AC86" s="2">
        <v>0</v>
      </c>
      <c r="AD86" s="2">
        <v>0</v>
      </c>
      <c r="AE86" s="2">
        <v>0</v>
      </c>
      <c r="AF86" s="2">
        <v>1</v>
      </c>
      <c r="AG86" s="2">
        <v>0</v>
      </c>
    </row>
    <row r="87" spans="1:33" x14ac:dyDescent="0.3">
      <c r="A87" s="2" t="s">
        <v>35</v>
      </c>
      <c r="B87" s="2" t="s">
        <v>286</v>
      </c>
      <c r="C87" s="2" t="s">
        <v>287</v>
      </c>
      <c r="D87" s="2" t="s">
        <v>288</v>
      </c>
      <c r="E87" s="2">
        <v>1949</v>
      </c>
      <c r="F87" s="2">
        <v>32</v>
      </c>
      <c r="G87" s="2">
        <v>0</v>
      </c>
      <c r="H87" s="2">
        <v>18</v>
      </c>
      <c r="I87" s="2">
        <v>17</v>
      </c>
      <c r="J87" s="2">
        <v>19</v>
      </c>
      <c r="K87" s="2">
        <f t="shared" ca="1" si="8"/>
        <v>77</v>
      </c>
      <c r="L87" s="2">
        <v>2</v>
      </c>
      <c r="M87" s="2">
        <v>0</v>
      </c>
      <c r="N87" s="2">
        <v>13</v>
      </c>
      <c r="O87" s="2">
        <f t="shared" ca="1" si="9"/>
        <v>2.5974025974025976E-2</v>
      </c>
      <c r="P87" s="2">
        <f t="shared" ca="1" si="10"/>
        <v>36.018668831168831</v>
      </c>
      <c r="Q87" s="2">
        <v>0.71619999999999995</v>
      </c>
      <c r="R87" s="2">
        <f t="shared" si="11"/>
        <v>38.175625000000004</v>
      </c>
      <c r="S87" s="2">
        <v>2</v>
      </c>
      <c r="T87" s="2">
        <v>3</v>
      </c>
      <c r="U87" s="2">
        <v>3.5</v>
      </c>
      <c r="V87" s="2">
        <f t="shared" si="12"/>
        <v>2.6457513110645907</v>
      </c>
      <c r="W87" s="2">
        <v>1</v>
      </c>
      <c r="X87" s="2">
        <f t="shared" si="13"/>
        <v>2.4494897427831779</v>
      </c>
      <c r="Y87" s="2">
        <v>3.5</v>
      </c>
      <c r="Z87" s="2">
        <f t="shared" si="14"/>
        <v>2.6457513110645907</v>
      </c>
      <c r="AA87" s="2">
        <f t="shared" si="15"/>
        <v>1.7320508075688772</v>
      </c>
      <c r="AB87" s="2">
        <v>3</v>
      </c>
      <c r="AC87" s="2">
        <v>2</v>
      </c>
      <c r="AD87" s="2">
        <v>1</v>
      </c>
      <c r="AE87" s="2">
        <v>2</v>
      </c>
      <c r="AF87" s="2">
        <v>0</v>
      </c>
      <c r="AG87" s="2">
        <v>1</v>
      </c>
    </row>
    <row r="88" spans="1:33" x14ac:dyDescent="0.3">
      <c r="A88" s="2" t="s">
        <v>35</v>
      </c>
      <c r="B88" s="2" t="s">
        <v>290</v>
      </c>
      <c r="C88" s="2" t="s">
        <v>62</v>
      </c>
      <c r="D88" s="2" t="s">
        <v>291</v>
      </c>
      <c r="E88" s="2">
        <v>1988</v>
      </c>
      <c r="F88" s="2">
        <v>58</v>
      </c>
      <c r="G88" s="2">
        <v>0</v>
      </c>
      <c r="H88" s="2">
        <v>32</v>
      </c>
      <c r="I88" s="2">
        <v>26</v>
      </c>
      <c r="J88" s="2">
        <v>36</v>
      </c>
      <c r="K88" s="2">
        <f t="shared" ca="1" si="8"/>
        <v>38</v>
      </c>
      <c r="L88" s="2">
        <v>15</v>
      </c>
      <c r="M88" s="2">
        <v>16</v>
      </c>
      <c r="N88" s="2">
        <v>994</v>
      </c>
      <c r="O88" s="2">
        <f t="shared" ca="1" si="9"/>
        <v>0.39473684210526316</v>
      </c>
      <c r="P88" s="2">
        <f t="shared" ca="1" si="10"/>
        <v>57.577132486388379</v>
      </c>
      <c r="Q88" s="2">
        <v>5.8075000000000001</v>
      </c>
      <c r="R88" s="2">
        <f t="shared" si="11"/>
        <v>66.909482758620683</v>
      </c>
      <c r="S88" s="2">
        <v>15</v>
      </c>
      <c r="T88" s="2">
        <v>31</v>
      </c>
      <c r="U88" s="2">
        <v>59.933300000000003</v>
      </c>
      <c r="V88" s="2">
        <f t="shared" si="12"/>
        <v>29.983320363161916</v>
      </c>
      <c r="W88" s="2">
        <v>6</v>
      </c>
      <c r="X88" s="2">
        <f t="shared" si="13"/>
        <v>21.563858652847824</v>
      </c>
      <c r="Y88" s="2">
        <v>38</v>
      </c>
      <c r="Z88" s="2">
        <f t="shared" si="14"/>
        <v>23.874672772626646</v>
      </c>
      <c r="AA88" s="2">
        <f t="shared" si="15"/>
        <v>25.961500341852357</v>
      </c>
      <c r="AB88" s="2">
        <v>63.584600000000002</v>
      </c>
      <c r="AC88" s="2">
        <v>13</v>
      </c>
      <c r="AD88" s="2">
        <v>4</v>
      </c>
      <c r="AE88" s="2">
        <v>6</v>
      </c>
      <c r="AF88" s="2">
        <v>1</v>
      </c>
      <c r="AG88" s="2">
        <v>9</v>
      </c>
    </row>
    <row r="89" spans="1:33" x14ac:dyDescent="0.3">
      <c r="A89" s="2" t="s">
        <v>35</v>
      </c>
      <c r="B89" s="2" t="s">
        <v>293</v>
      </c>
      <c r="C89" s="2" t="s">
        <v>74</v>
      </c>
      <c r="D89" s="2" t="s">
        <v>294</v>
      </c>
      <c r="E89" s="2">
        <v>2003</v>
      </c>
      <c r="F89" s="2">
        <v>13</v>
      </c>
      <c r="G89" s="2">
        <v>1</v>
      </c>
      <c r="H89" s="2">
        <v>5</v>
      </c>
      <c r="I89" s="2">
        <v>2</v>
      </c>
      <c r="J89" s="2">
        <v>6</v>
      </c>
      <c r="K89" s="2">
        <f t="shared" ca="1" si="8"/>
        <v>23</v>
      </c>
      <c r="L89" s="2">
        <v>5</v>
      </c>
      <c r="M89" s="2">
        <v>3</v>
      </c>
      <c r="N89" s="2">
        <v>72</v>
      </c>
      <c r="O89" s="2">
        <f t="shared" ca="1" si="9"/>
        <v>0.21739130434782608</v>
      </c>
      <c r="P89" s="2">
        <f t="shared" ca="1" si="10"/>
        <v>62.441471571906362</v>
      </c>
      <c r="Q89" s="2">
        <v>3.8513999999999999</v>
      </c>
      <c r="R89" s="2">
        <f t="shared" si="11"/>
        <v>90.395384615384614</v>
      </c>
      <c r="S89" s="2">
        <v>5</v>
      </c>
      <c r="T89" s="2">
        <v>8</v>
      </c>
      <c r="U89" s="2">
        <v>12.8</v>
      </c>
      <c r="V89" s="2">
        <f t="shared" si="12"/>
        <v>8</v>
      </c>
      <c r="W89" s="2">
        <v>3</v>
      </c>
      <c r="X89" s="2">
        <f t="shared" si="13"/>
        <v>6.324555320336759</v>
      </c>
      <c r="Y89" s="2">
        <v>13</v>
      </c>
      <c r="Z89" s="2">
        <f t="shared" si="14"/>
        <v>8.0622577482985491</v>
      </c>
      <c r="AA89" s="2">
        <f t="shared" si="15"/>
        <v>6.2449979983983983</v>
      </c>
      <c r="AB89" s="2">
        <v>12.4499</v>
      </c>
      <c r="AC89" s="2">
        <v>3</v>
      </c>
      <c r="AD89" s="2">
        <v>1</v>
      </c>
      <c r="AE89" s="2">
        <v>0</v>
      </c>
      <c r="AF89" s="2">
        <v>5</v>
      </c>
      <c r="AG89" s="2">
        <v>1</v>
      </c>
    </row>
    <row r="90" spans="1:33" x14ac:dyDescent="0.3">
      <c r="A90" s="2" t="s">
        <v>35</v>
      </c>
      <c r="B90" s="2" t="s">
        <v>296</v>
      </c>
      <c r="C90" s="2" t="s">
        <v>51</v>
      </c>
      <c r="D90" s="2" t="s">
        <v>297</v>
      </c>
      <c r="E90" s="2">
        <v>1998</v>
      </c>
      <c r="F90" s="2">
        <v>273</v>
      </c>
      <c r="G90" s="2">
        <v>134</v>
      </c>
      <c r="H90" s="2">
        <v>87</v>
      </c>
      <c r="I90" s="2">
        <v>49</v>
      </c>
      <c r="J90" s="2">
        <v>94</v>
      </c>
      <c r="K90" s="2">
        <f t="shared" ca="1" si="8"/>
        <v>28</v>
      </c>
      <c r="L90" s="2">
        <v>22</v>
      </c>
      <c r="M90" s="2">
        <v>46</v>
      </c>
      <c r="N90" s="2">
        <v>2336</v>
      </c>
      <c r="O90" s="2">
        <f t="shared" ca="1" si="9"/>
        <v>0.7857142857142857</v>
      </c>
      <c r="P90" s="2">
        <f t="shared" ca="1" si="10"/>
        <v>20.65410779696494</v>
      </c>
      <c r="Q90" s="2">
        <v>13.516299999999999</v>
      </c>
      <c r="R90" s="2">
        <f t="shared" si="11"/>
        <v>25.317326007326002</v>
      </c>
      <c r="S90" s="2">
        <v>22</v>
      </c>
      <c r="T90" s="2">
        <v>44</v>
      </c>
      <c r="U90" s="2">
        <v>73.090900000000005</v>
      </c>
      <c r="V90" s="2">
        <f t="shared" si="12"/>
        <v>40.099872817753429</v>
      </c>
      <c r="W90" s="2">
        <v>7</v>
      </c>
      <c r="X90" s="2">
        <f t="shared" si="13"/>
        <v>31.11269837220809</v>
      </c>
      <c r="Y90" s="2">
        <v>43</v>
      </c>
      <c r="Z90" s="2">
        <f t="shared" si="14"/>
        <v>30.757112998459398</v>
      </c>
      <c r="AA90" s="2">
        <f t="shared" si="15"/>
        <v>33.526106245730354</v>
      </c>
      <c r="AB90" s="2">
        <v>98.407300000000006</v>
      </c>
      <c r="AC90" s="2">
        <v>17</v>
      </c>
      <c r="AD90" s="2">
        <v>7</v>
      </c>
      <c r="AE90" s="2">
        <v>9</v>
      </c>
      <c r="AF90" s="2">
        <v>14</v>
      </c>
      <c r="AG90" s="2">
        <v>10</v>
      </c>
    </row>
    <row r="91" spans="1:33" x14ac:dyDescent="0.3">
      <c r="A91" s="2" t="s">
        <v>35</v>
      </c>
      <c r="B91" s="2" t="s">
        <v>299</v>
      </c>
      <c r="C91" s="2" t="s">
        <v>51</v>
      </c>
      <c r="D91" s="2" t="s">
        <v>300</v>
      </c>
      <c r="E91" s="2">
        <v>1978</v>
      </c>
      <c r="F91" s="2">
        <v>174</v>
      </c>
      <c r="G91" s="2">
        <v>76</v>
      </c>
      <c r="H91" s="2">
        <v>35</v>
      </c>
      <c r="I91" s="2">
        <v>26</v>
      </c>
      <c r="J91" s="2">
        <v>53</v>
      </c>
      <c r="K91" s="2">
        <f t="shared" ca="1" si="8"/>
        <v>48</v>
      </c>
      <c r="L91" s="2">
        <v>29</v>
      </c>
      <c r="M91" s="2">
        <v>62</v>
      </c>
      <c r="N91" s="2">
        <v>3219</v>
      </c>
      <c r="O91" s="2">
        <f t="shared" ca="1" si="9"/>
        <v>0.60416666666666663</v>
      </c>
      <c r="P91" s="2">
        <f t="shared" ca="1" si="10"/>
        <v>27.875957854406128</v>
      </c>
      <c r="Q91" s="2">
        <v>13.523199999999999</v>
      </c>
      <c r="R91" s="2">
        <f t="shared" si="11"/>
        <v>35.300689655172405</v>
      </c>
      <c r="S91" s="2">
        <v>29</v>
      </c>
      <c r="T91" s="2">
        <v>53</v>
      </c>
      <c r="U91" s="2">
        <v>81.896600000000007</v>
      </c>
      <c r="V91" s="2">
        <f t="shared" si="12"/>
        <v>48.73398608773963</v>
      </c>
      <c r="W91" s="2">
        <v>8</v>
      </c>
      <c r="X91" s="2">
        <f t="shared" si="13"/>
        <v>39.204591567825318</v>
      </c>
      <c r="Y91" s="2">
        <v>48</v>
      </c>
      <c r="Z91" s="2">
        <f t="shared" si="14"/>
        <v>37.309516212355263</v>
      </c>
      <c r="AA91" s="2">
        <f t="shared" si="15"/>
        <v>39.166329927630443</v>
      </c>
      <c r="AB91" s="2">
        <v>148.35429999999999</v>
      </c>
      <c r="AC91" s="2">
        <v>23</v>
      </c>
      <c r="AD91" s="2">
        <v>11</v>
      </c>
      <c r="AE91" s="2">
        <v>13</v>
      </c>
      <c r="AF91" s="2">
        <v>18</v>
      </c>
      <c r="AG91" s="2">
        <v>11</v>
      </c>
    </row>
    <row r="92" spans="1:33" x14ac:dyDescent="0.3">
      <c r="A92" s="2" t="s">
        <v>35</v>
      </c>
      <c r="B92" s="2" t="s">
        <v>302</v>
      </c>
      <c r="C92" s="2" t="s">
        <v>109</v>
      </c>
      <c r="D92" s="2" t="s">
        <v>303</v>
      </c>
      <c r="E92" s="2">
        <v>1996</v>
      </c>
      <c r="F92" s="2">
        <v>113</v>
      </c>
      <c r="G92" s="2">
        <v>1</v>
      </c>
      <c r="H92" s="2">
        <v>28</v>
      </c>
      <c r="I92" s="2">
        <v>45</v>
      </c>
      <c r="J92" s="2">
        <v>58</v>
      </c>
      <c r="K92" s="2">
        <f t="shared" ca="1" si="8"/>
        <v>30</v>
      </c>
      <c r="L92" s="2">
        <v>24</v>
      </c>
      <c r="M92" s="2">
        <v>46</v>
      </c>
      <c r="N92" s="2">
        <v>1785</v>
      </c>
      <c r="O92" s="2">
        <f t="shared" ca="1" si="9"/>
        <v>0.8</v>
      </c>
      <c r="P92" s="2">
        <f t="shared" ca="1" si="10"/>
        <v>47.522123893805308</v>
      </c>
      <c r="Q92" s="2">
        <v>11.087899999999999</v>
      </c>
      <c r="R92" s="2">
        <f t="shared" si="11"/>
        <v>56.626460176991152</v>
      </c>
      <c r="S92" s="2">
        <v>24</v>
      </c>
      <c r="T92" s="2">
        <v>38</v>
      </c>
      <c r="U92" s="2">
        <v>50.208300000000001</v>
      </c>
      <c r="V92" s="2">
        <f t="shared" si="12"/>
        <v>34.713098392393611</v>
      </c>
      <c r="W92" s="2">
        <v>7</v>
      </c>
      <c r="X92" s="2">
        <f t="shared" si="13"/>
        <v>30.199337741082999</v>
      </c>
      <c r="Y92" s="2">
        <v>45</v>
      </c>
      <c r="Z92" s="2">
        <f t="shared" si="14"/>
        <v>32.863353450309965</v>
      </c>
      <c r="AA92" s="2">
        <f t="shared" si="15"/>
        <v>25.079856458919377</v>
      </c>
      <c r="AB92" s="2">
        <v>105.7024</v>
      </c>
      <c r="AC92" s="2">
        <v>20</v>
      </c>
      <c r="AD92" s="2">
        <v>6</v>
      </c>
      <c r="AE92" s="2">
        <v>12</v>
      </c>
      <c r="AF92" s="2">
        <v>11</v>
      </c>
      <c r="AG92" s="2">
        <v>16</v>
      </c>
    </row>
    <row r="93" spans="1:33" x14ac:dyDescent="0.3">
      <c r="A93" s="2" t="s">
        <v>35</v>
      </c>
      <c r="B93" s="2" t="s">
        <v>305</v>
      </c>
      <c r="C93" s="2" t="s">
        <v>187</v>
      </c>
      <c r="D93" s="2" t="s">
        <v>306</v>
      </c>
      <c r="E93" s="2">
        <v>1989</v>
      </c>
      <c r="F93" s="2">
        <v>125</v>
      </c>
      <c r="G93" s="2">
        <v>58</v>
      </c>
      <c r="H93" s="2">
        <v>35</v>
      </c>
      <c r="I93" s="2">
        <v>21</v>
      </c>
      <c r="J93" s="2">
        <v>39</v>
      </c>
      <c r="K93" s="2">
        <f t="shared" ca="1" si="8"/>
        <v>37</v>
      </c>
      <c r="L93" s="2">
        <v>18</v>
      </c>
      <c r="M93" s="2">
        <v>37</v>
      </c>
      <c r="N93" s="2">
        <v>1071</v>
      </c>
      <c r="O93" s="2">
        <f t="shared" ca="1" si="9"/>
        <v>0.48648648648648651</v>
      </c>
      <c r="P93" s="2">
        <f t="shared" ca="1" si="10"/>
        <v>25.749189189189192</v>
      </c>
      <c r="Q93" s="2">
        <v>7.5858999999999996</v>
      </c>
      <c r="R93" s="2">
        <f t="shared" si="11"/>
        <v>31.428719999999998</v>
      </c>
      <c r="S93" s="2">
        <v>18</v>
      </c>
      <c r="T93" s="2">
        <v>28</v>
      </c>
      <c r="U93" s="2">
        <v>35.944400000000002</v>
      </c>
      <c r="V93" s="2">
        <f t="shared" si="12"/>
        <v>25.436178958326266</v>
      </c>
      <c r="W93" s="2">
        <v>6</v>
      </c>
      <c r="X93" s="2">
        <f t="shared" si="13"/>
        <v>22.449944320643649</v>
      </c>
      <c r="Y93" s="2">
        <v>26.5</v>
      </c>
      <c r="Z93" s="2">
        <f t="shared" si="14"/>
        <v>21.840329667841555</v>
      </c>
      <c r="AA93" s="2">
        <f t="shared" si="15"/>
        <v>17.972178499002283</v>
      </c>
      <c r="AB93" s="2">
        <v>65.901399999999995</v>
      </c>
      <c r="AC93" s="2">
        <v>11</v>
      </c>
      <c r="AD93" s="2">
        <v>6</v>
      </c>
      <c r="AE93" s="2">
        <v>0</v>
      </c>
      <c r="AF93" s="2">
        <v>17</v>
      </c>
      <c r="AG93" s="2">
        <v>7</v>
      </c>
    </row>
    <row r="94" spans="1:33" x14ac:dyDescent="0.3">
      <c r="A94" s="2" t="s">
        <v>35</v>
      </c>
      <c r="B94" s="2" t="s">
        <v>308</v>
      </c>
      <c r="C94" s="2" t="s">
        <v>109</v>
      </c>
      <c r="D94" s="2" t="s">
        <v>309</v>
      </c>
      <c r="E94" s="2">
        <v>2007</v>
      </c>
      <c r="F94" s="2">
        <v>197</v>
      </c>
      <c r="G94" s="2">
        <v>35</v>
      </c>
      <c r="H94" s="2">
        <v>51</v>
      </c>
      <c r="I94" s="2">
        <v>64</v>
      </c>
      <c r="J94" s="2">
        <v>95</v>
      </c>
      <c r="K94" s="2">
        <f t="shared" ca="1" si="8"/>
        <v>19</v>
      </c>
      <c r="L94" s="2">
        <v>23</v>
      </c>
      <c r="M94" s="2">
        <v>61</v>
      </c>
      <c r="N94" s="2">
        <v>2439</v>
      </c>
      <c r="O94" s="2">
        <f t="shared" ca="1" si="9"/>
        <v>1.2105263157894737</v>
      </c>
      <c r="P94" s="2">
        <f t="shared" ca="1" si="10"/>
        <v>34.62463264760887</v>
      </c>
      <c r="Q94" s="2">
        <v>13.5291</v>
      </c>
      <c r="R94" s="2">
        <f t="shared" si="11"/>
        <v>40.877715736040606</v>
      </c>
      <c r="S94" s="2">
        <v>23</v>
      </c>
      <c r="T94" s="2">
        <v>43</v>
      </c>
      <c r="U94" s="2">
        <v>66.652199999999993</v>
      </c>
      <c r="V94" s="2">
        <f t="shared" si="12"/>
        <v>39.153551563044694</v>
      </c>
      <c r="W94" s="2">
        <v>7</v>
      </c>
      <c r="X94" s="2">
        <f t="shared" si="13"/>
        <v>31.448370387032774</v>
      </c>
      <c r="Y94" s="2">
        <v>39</v>
      </c>
      <c r="Z94" s="2">
        <f t="shared" si="14"/>
        <v>29.949958263743873</v>
      </c>
      <c r="AA94" s="2">
        <f t="shared" si="15"/>
        <v>31.685968503424348</v>
      </c>
      <c r="AB94" s="2">
        <v>101.45440000000001</v>
      </c>
      <c r="AC94" s="2">
        <v>19</v>
      </c>
      <c r="AD94" s="2">
        <v>11</v>
      </c>
      <c r="AE94" s="2">
        <v>8</v>
      </c>
      <c r="AF94" s="2">
        <v>13</v>
      </c>
      <c r="AG94" s="2">
        <v>15</v>
      </c>
    </row>
    <row r="95" spans="1:33" x14ac:dyDescent="0.3">
      <c r="A95" s="2" t="s">
        <v>35</v>
      </c>
      <c r="B95" s="2" t="s">
        <v>1077</v>
      </c>
      <c r="C95" s="2" t="s">
        <v>55</v>
      </c>
      <c r="D95" s="2" t="s">
        <v>1078</v>
      </c>
      <c r="E95" s="2">
        <v>2014</v>
      </c>
      <c r="F95" s="2">
        <v>1</v>
      </c>
      <c r="G95" s="2">
        <v>0</v>
      </c>
      <c r="H95" s="2">
        <v>1</v>
      </c>
      <c r="I95" s="2">
        <v>1</v>
      </c>
      <c r="J95" s="2">
        <v>1</v>
      </c>
      <c r="K95" s="2">
        <f t="shared" ca="1" si="8"/>
        <v>12</v>
      </c>
      <c r="L95" s="2">
        <v>0</v>
      </c>
      <c r="M95" s="2">
        <v>0</v>
      </c>
      <c r="N95" s="2">
        <v>0</v>
      </c>
      <c r="O95" s="2">
        <f t="shared" ca="1" si="9"/>
        <v>0</v>
      </c>
      <c r="P95" s="2">
        <f t="shared" ca="1" si="10"/>
        <v>50</v>
      </c>
      <c r="Q95" s="2">
        <v>0</v>
      </c>
      <c r="R95" s="2">
        <f t="shared" si="11"/>
        <v>50</v>
      </c>
      <c r="S95" s="2">
        <v>0</v>
      </c>
      <c r="T95" s="2">
        <v>0</v>
      </c>
      <c r="U95" s="2">
        <v>0</v>
      </c>
      <c r="V95" s="2">
        <f t="shared" si="12"/>
        <v>0</v>
      </c>
      <c r="W95" s="2">
        <v>0</v>
      </c>
      <c r="X95" s="2">
        <f t="shared" si="13"/>
        <v>0</v>
      </c>
      <c r="Y95" s="2">
        <v>0</v>
      </c>
      <c r="Z95" s="2">
        <f t="shared" si="14"/>
        <v>0</v>
      </c>
      <c r="AA95" s="2">
        <f t="shared" si="15"/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 x14ac:dyDescent="0.3">
      <c r="A96" s="2" t="s">
        <v>35</v>
      </c>
      <c r="B96" s="2" t="s">
        <v>311</v>
      </c>
      <c r="C96" s="2" t="s">
        <v>38</v>
      </c>
      <c r="D96" s="2" t="s">
        <v>312</v>
      </c>
      <c r="E96" s="2">
        <v>1995</v>
      </c>
      <c r="F96" s="2">
        <v>44</v>
      </c>
      <c r="G96" s="2">
        <v>12</v>
      </c>
      <c r="H96" s="2">
        <v>11</v>
      </c>
      <c r="I96" s="2">
        <v>2</v>
      </c>
      <c r="J96" s="2">
        <v>12</v>
      </c>
      <c r="K96" s="2">
        <f t="shared" ca="1" si="8"/>
        <v>31</v>
      </c>
      <c r="L96" s="2">
        <v>6</v>
      </c>
      <c r="M96" s="2">
        <v>4</v>
      </c>
      <c r="N96" s="2">
        <v>135</v>
      </c>
      <c r="O96" s="2">
        <f t="shared" ca="1" si="9"/>
        <v>0.19354838709677419</v>
      </c>
      <c r="P96" s="2">
        <f t="shared" ca="1" si="10"/>
        <v>24.985337243401762</v>
      </c>
      <c r="Q96" s="2">
        <v>2.8807999999999998</v>
      </c>
      <c r="R96" s="2">
        <f t="shared" si="11"/>
        <v>31.092727272727277</v>
      </c>
      <c r="S96" s="2">
        <v>6</v>
      </c>
      <c r="T96" s="2">
        <v>10</v>
      </c>
      <c r="U96" s="2">
        <v>14.5</v>
      </c>
      <c r="V96" s="2">
        <f t="shared" si="12"/>
        <v>9.3273790530888157</v>
      </c>
      <c r="W96" s="2">
        <v>3</v>
      </c>
      <c r="X96" s="2">
        <f t="shared" si="13"/>
        <v>7.745966692414834</v>
      </c>
      <c r="Y96" s="2">
        <v>11</v>
      </c>
      <c r="Z96" s="2">
        <f t="shared" si="14"/>
        <v>8.1240384046359608</v>
      </c>
      <c r="AA96" s="2">
        <f t="shared" si="15"/>
        <v>7.1414284285428504</v>
      </c>
      <c r="AB96" s="2">
        <v>15.033300000000001</v>
      </c>
      <c r="AC96" s="2">
        <v>4</v>
      </c>
      <c r="AD96" s="2">
        <v>3</v>
      </c>
      <c r="AE96" s="2">
        <v>2</v>
      </c>
      <c r="AF96" s="2">
        <v>5</v>
      </c>
      <c r="AG96" s="2">
        <v>1</v>
      </c>
    </row>
    <row r="97" spans="1:33" x14ac:dyDescent="0.3">
      <c r="A97" s="2" t="s">
        <v>35</v>
      </c>
      <c r="B97" s="2" t="s">
        <v>314</v>
      </c>
      <c r="C97" s="2" t="s">
        <v>99</v>
      </c>
      <c r="D97" s="2" t="s">
        <v>315</v>
      </c>
      <c r="E97" s="2">
        <v>2003</v>
      </c>
      <c r="F97" s="2">
        <v>345</v>
      </c>
      <c r="G97" s="2">
        <v>29</v>
      </c>
      <c r="H97" s="2">
        <v>109</v>
      </c>
      <c r="I97" s="2">
        <v>32</v>
      </c>
      <c r="J97" s="2">
        <v>130</v>
      </c>
      <c r="K97" s="2">
        <f t="shared" ca="1" si="8"/>
        <v>23</v>
      </c>
      <c r="L97" s="2">
        <v>20</v>
      </c>
      <c r="M97" s="2">
        <v>29</v>
      </c>
      <c r="N97" s="2">
        <v>1381</v>
      </c>
      <c r="O97" s="2">
        <f t="shared" ca="1" si="9"/>
        <v>0.86956521739130432</v>
      </c>
      <c r="P97" s="2">
        <f t="shared" ca="1" si="10"/>
        <v>24.049149338374288</v>
      </c>
      <c r="Q97" s="2">
        <v>8.9928000000000008</v>
      </c>
      <c r="R97" s="2">
        <f t="shared" si="11"/>
        <v>26.403710144927537</v>
      </c>
      <c r="S97" s="2">
        <v>20</v>
      </c>
      <c r="T97" s="2">
        <v>36</v>
      </c>
      <c r="U97" s="2">
        <v>57.45</v>
      </c>
      <c r="V97" s="2">
        <f t="shared" si="12"/>
        <v>33.896902513356586</v>
      </c>
      <c r="W97" s="2">
        <v>7</v>
      </c>
      <c r="X97" s="2">
        <f t="shared" si="13"/>
        <v>26.832815729997478</v>
      </c>
      <c r="Y97" s="2">
        <v>38.5</v>
      </c>
      <c r="Z97" s="2">
        <f t="shared" si="14"/>
        <v>27.748873851023216</v>
      </c>
      <c r="AA97" s="2">
        <f t="shared" si="15"/>
        <v>27.367864366808018</v>
      </c>
      <c r="AB97" s="2">
        <v>87.126300000000001</v>
      </c>
      <c r="AC97" s="2">
        <v>17</v>
      </c>
      <c r="AD97" s="2">
        <v>10</v>
      </c>
      <c r="AE97" s="2">
        <v>3</v>
      </c>
      <c r="AF97" s="2">
        <v>9</v>
      </c>
      <c r="AG97" s="2">
        <v>9</v>
      </c>
    </row>
    <row r="98" spans="1:33" x14ac:dyDescent="0.3">
      <c r="A98" s="2" t="s">
        <v>35</v>
      </c>
      <c r="B98" s="2" t="s">
        <v>317</v>
      </c>
      <c r="C98" s="2" t="s">
        <v>318</v>
      </c>
      <c r="D98" s="2" t="s">
        <v>319</v>
      </c>
      <c r="E98" s="2">
        <v>2014</v>
      </c>
      <c r="F98" s="2">
        <v>3</v>
      </c>
      <c r="G98" s="2">
        <v>1</v>
      </c>
      <c r="H98" s="2">
        <v>1</v>
      </c>
      <c r="I98" s="2">
        <v>1</v>
      </c>
      <c r="J98" s="2">
        <v>2</v>
      </c>
      <c r="K98" s="2">
        <f t="shared" ca="1" si="8"/>
        <v>12</v>
      </c>
      <c r="L98" s="2">
        <v>1</v>
      </c>
      <c r="M98" s="2">
        <v>0</v>
      </c>
      <c r="N98" s="2">
        <v>2</v>
      </c>
      <c r="O98" s="2">
        <f t="shared" ca="1" si="9"/>
        <v>8.3333333333333329E-2</v>
      </c>
      <c r="P98" s="2">
        <f t="shared" ca="1" si="10"/>
        <v>66.111111111111114</v>
      </c>
      <c r="Q98" s="2">
        <v>1</v>
      </c>
      <c r="R98" s="2">
        <f t="shared" si="11"/>
        <v>96.666666666666671</v>
      </c>
      <c r="S98" s="2">
        <v>1</v>
      </c>
      <c r="T98" s="2">
        <v>1</v>
      </c>
      <c r="U98" s="2">
        <v>1</v>
      </c>
      <c r="V98" s="2">
        <f t="shared" si="12"/>
        <v>1</v>
      </c>
      <c r="W98" s="2">
        <v>1</v>
      </c>
      <c r="X98" s="2">
        <f t="shared" si="13"/>
        <v>1</v>
      </c>
      <c r="Y98" s="2">
        <v>1</v>
      </c>
      <c r="Z98" s="2">
        <f t="shared" si="14"/>
        <v>1</v>
      </c>
      <c r="AA98" s="2">
        <f t="shared" si="15"/>
        <v>0</v>
      </c>
      <c r="AB98" s="2">
        <v>1</v>
      </c>
      <c r="AC98" s="2">
        <v>0</v>
      </c>
      <c r="AD98" s="2">
        <v>1</v>
      </c>
      <c r="AE98" s="2">
        <v>0</v>
      </c>
      <c r="AF98" s="2">
        <v>1</v>
      </c>
      <c r="AG98" s="2">
        <v>0</v>
      </c>
    </row>
    <row r="99" spans="1:33" x14ac:dyDescent="0.3">
      <c r="A99" s="2" t="s">
        <v>35</v>
      </c>
      <c r="B99" s="2" t="s">
        <v>321</v>
      </c>
      <c r="C99" s="2" t="s">
        <v>91</v>
      </c>
      <c r="D99" s="2" t="s">
        <v>322</v>
      </c>
      <c r="E99" s="2">
        <v>1961</v>
      </c>
      <c r="F99" s="2">
        <v>1422</v>
      </c>
      <c r="G99" s="2">
        <v>384</v>
      </c>
      <c r="H99" s="2">
        <v>333</v>
      </c>
      <c r="I99" s="2">
        <v>173</v>
      </c>
      <c r="J99" s="2">
        <v>389</v>
      </c>
      <c r="K99" s="2">
        <f t="shared" ca="1" si="8"/>
        <v>65</v>
      </c>
      <c r="L99" s="2">
        <v>65</v>
      </c>
      <c r="M99" s="2">
        <v>401</v>
      </c>
      <c r="N99" s="2">
        <v>18465</v>
      </c>
      <c r="O99" s="2">
        <f t="shared" ca="1" si="9"/>
        <v>1</v>
      </c>
      <c r="P99" s="2">
        <f t="shared" ca="1" si="10"/>
        <v>15.61884669479606</v>
      </c>
      <c r="Q99" s="2">
        <v>24.549199999999999</v>
      </c>
      <c r="R99" s="2">
        <f t="shared" si="11"/>
        <v>17.274908579465542</v>
      </c>
      <c r="S99" s="2">
        <v>65</v>
      </c>
      <c r="T99" s="2">
        <v>100</v>
      </c>
      <c r="U99" s="2">
        <v>125.2154</v>
      </c>
      <c r="V99" s="2">
        <f t="shared" si="12"/>
        <v>90.216412032401294</v>
      </c>
      <c r="W99" s="2">
        <v>12</v>
      </c>
      <c r="X99" s="2">
        <f t="shared" si="13"/>
        <v>80.622577482985491</v>
      </c>
      <c r="Y99" s="2">
        <v>105</v>
      </c>
      <c r="Z99" s="2">
        <f t="shared" si="14"/>
        <v>82.613558209291526</v>
      </c>
      <c r="AA99" s="2">
        <f t="shared" si="15"/>
        <v>62.561977270543487</v>
      </c>
      <c r="AB99" s="2">
        <v>451.67020000000002</v>
      </c>
      <c r="AC99" s="2">
        <v>45</v>
      </c>
      <c r="AD99" s="2">
        <v>27</v>
      </c>
      <c r="AE99" s="2">
        <v>33</v>
      </c>
      <c r="AF99" s="2">
        <v>45</v>
      </c>
      <c r="AG99" s="2">
        <v>28</v>
      </c>
    </row>
    <row r="100" spans="1:33" x14ac:dyDescent="0.3">
      <c r="A100" s="2" t="s">
        <v>35</v>
      </c>
      <c r="B100" s="2" t="s">
        <v>324</v>
      </c>
      <c r="C100" s="2" t="s">
        <v>74</v>
      </c>
      <c r="D100" s="2" t="s">
        <v>325</v>
      </c>
      <c r="E100" s="2">
        <v>1949</v>
      </c>
      <c r="F100" s="2">
        <v>250</v>
      </c>
      <c r="G100" s="2">
        <v>69</v>
      </c>
      <c r="H100" s="2">
        <v>82</v>
      </c>
      <c r="I100" s="2">
        <v>69</v>
      </c>
      <c r="J100" s="2">
        <v>116</v>
      </c>
      <c r="K100" s="2">
        <f t="shared" ca="1" si="8"/>
        <v>77</v>
      </c>
      <c r="L100" s="2">
        <v>83</v>
      </c>
      <c r="M100" s="2">
        <v>154</v>
      </c>
      <c r="N100" s="2">
        <v>46906</v>
      </c>
      <c r="O100" s="2">
        <f t="shared" ca="1" si="9"/>
        <v>1.0779220779220779</v>
      </c>
      <c r="P100" s="2">
        <f t="shared" ca="1" si="10"/>
        <v>54.071168831168826</v>
      </c>
      <c r="Q100" s="2">
        <v>54.177700000000002</v>
      </c>
      <c r="R100" s="2">
        <f t="shared" si="11"/>
        <v>75.31107999999999</v>
      </c>
      <c r="S100" s="2">
        <v>83</v>
      </c>
      <c r="T100" s="2">
        <v>216</v>
      </c>
      <c r="U100" s="2">
        <v>527.69880000000001</v>
      </c>
      <c r="V100" s="2">
        <f t="shared" si="12"/>
        <v>209.28210721416201</v>
      </c>
      <c r="W100" s="2">
        <v>20</v>
      </c>
      <c r="X100" s="2">
        <f t="shared" si="13"/>
        <v>133.89548162652838</v>
      </c>
      <c r="Y100" s="2">
        <v>228</v>
      </c>
      <c r="Z100" s="2">
        <f t="shared" si="14"/>
        <v>137.56453031214116</v>
      </c>
      <c r="AA100" s="2">
        <f t="shared" si="15"/>
        <v>192.11975536107678</v>
      </c>
      <c r="AB100" s="2">
        <v>863.46799999999996</v>
      </c>
      <c r="AC100" s="2">
        <v>60</v>
      </c>
      <c r="AD100" s="2">
        <v>10</v>
      </c>
      <c r="AE100" s="2">
        <v>15</v>
      </c>
      <c r="AF100" s="2">
        <v>55</v>
      </c>
      <c r="AG100" s="2">
        <v>41</v>
      </c>
    </row>
    <row r="101" spans="1:33" x14ac:dyDescent="0.3">
      <c r="A101" s="2" t="s">
        <v>35</v>
      </c>
      <c r="B101" s="2" t="s">
        <v>327</v>
      </c>
      <c r="C101" s="2" t="s">
        <v>91</v>
      </c>
      <c r="D101" s="2" t="s">
        <v>328</v>
      </c>
      <c r="E101" s="2">
        <v>1988</v>
      </c>
      <c r="F101" s="2">
        <v>145</v>
      </c>
      <c r="G101" s="2">
        <v>50</v>
      </c>
      <c r="H101" s="2">
        <v>56</v>
      </c>
      <c r="I101" s="2">
        <v>21</v>
      </c>
      <c r="J101" s="2">
        <v>61</v>
      </c>
      <c r="K101" s="2">
        <f t="shared" ca="1" si="8"/>
        <v>38</v>
      </c>
      <c r="L101" s="2">
        <v>34</v>
      </c>
      <c r="M101" s="2">
        <v>56</v>
      </c>
      <c r="N101" s="2">
        <v>5094</v>
      </c>
      <c r="O101" s="2">
        <f t="shared" ca="1" si="9"/>
        <v>0.89473684210526316</v>
      </c>
      <c r="P101" s="2">
        <f t="shared" ca="1" si="10"/>
        <v>41.651542649727766</v>
      </c>
      <c r="Q101" s="2">
        <v>15.7159</v>
      </c>
      <c r="R101" s="2">
        <f t="shared" si="11"/>
        <v>51.873034482758626</v>
      </c>
      <c r="S101" s="2">
        <v>34</v>
      </c>
      <c r="T101" s="2">
        <v>70</v>
      </c>
      <c r="U101" s="2">
        <v>132.2647</v>
      </c>
      <c r="V101" s="2">
        <f t="shared" si="12"/>
        <v>67.059673425986801</v>
      </c>
      <c r="W101" s="2">
        <v>9</v>
      </c>
      <c r="X101" s="2">
        <f t="shared" si="13"/>
        <v>48.785243670601872</v>
      </c>
      <c r="Y101" s="2">
        <v>63</v>
      </c>
      <c r="Z101" s="2">
        <f t="shared" si="14"/>
        <v>46.281745861624536</v>
      </c>
      <c r="AA101" s="2">
        <f t="shared" si="15"/>
        <v>57.801382336411301</v>
      </c>
      <c r="AB101" s="2">
        <v>196.2295</v>
      </c>
      <c r="AC101" s="2">
        <v>22</v>
      </c>
      <c r="AD101" s="2">
        <v>12</v>
      </c>
      <c r="AE101" s="2">
        <v>15</v>
      </c>
      <c r="AF101" s="2">
        <v>17</v>
      </c>
      <c r="AG101" s="2">
        <v>5</v>
      </c>
    </row>
    <row r="102" spans="1:33" x14ac:dyDescent="0.3">
      <c r="A102" s="2" t="s">
        <v>35</v>
      </c>
      <c r="B102" s="2" t="s">
        <v>330</v>
      </c>
      <c r="C102" s="2" t="s">
        <v>74</v>
      </c>
      <c r="D102" s="2" t="s">
        <v>331</v>
      </c>
      <c r="E102" s="2">
        <v>1996</v>
      </c>
      <c r="F102" s="2">
        <v>36</v>
      </c>
      <c r="G102" s="2">
        <v>3</v>
      </c>
      <c r="H102" s="2">
        <v>4</v>
      </c>
      <c r="I102" s="2">
        <v>3</v>
      </c>
      <c r="J102" s="2">
        <v>4</v>
      </c>
      <c r="K102" s="2">
        <f t="shared" ca="1" si="8"/>
        <v>30</v>
      </c>
      <c r="L102" s="2">
        <v>11</v>
      </c>
      <c r="M102" s="2">
        <v>13</v>
      </c>
      <c r="N102" s="2">
        <v>669</v>
      </c>
      <c r="O102" s="2">
        <f t="shared" ca="1" si="9"/>
        <v>0.36666666666666664</v>
      </c>
      <c r="P102" s="2">
        <f t="shared" ca="1" si="10"/>
        <v>36.296296296296298</v>
      </c>
      <c r="Q102" s="2">
        <v>8.6136999999999997</v>
      </c>
      <c r="R102" s="2">
        <f t="shared" si="11"/>
        <v>59.204722222222209</v>
      </c>
      <c r="S102" s="2">
        <v>11</v>
      </c>
      <c r="T102" s="2">
        <v>25</v>
      </c>
      <c r="U102" s="2">
        <v>55</v>
      </c>
      <c r="V102" s="2">
        <f t="shared" si="12"/>
        <v>24.596747752497688</v>
      </c>
      <c r="W102" s="2">
        <v>6</v>
      </c>
      <c r="X102" s="2">
        <f t="shared" si="13"/>
        <v>16.583123951777001</v>
      </c>
      <c r="Y102" s="2">
        <v>39</v>
      </c>
      <c r="Z102" s="2">
        <f t="shared" si="14"/>
        <v>20.71231517720798</v>
      </c>
      <c r="AA102" s="2">
        <f t="shared" si="15"/>
        <v>22</v>
      </c>
      <c r="AB102" s="2">
        <v>50.665599999999998</v>
      </c>
      <c r="AC102" s="2">
        <v>8</v>
      </c>
      <c r="AD102" s="2">
        <v>1</v>
      </c>
      <c r="AE102" s="2">
        <v>9</v>
      </c>
      <c r="AF102" s="2">
        <v>4</v>
      </c>
      <c r="AG102" s="2">
        <v>2</v>
      </c>
    </row>
    <row r="103" spans="1:33" x14ac:dyDescent="0.3">
      <c r="A103" s="2" t="s">
        <v>35</v>
      </c>
      <c r="B103" s="2" t="s">
        <v>333</v>
      </c>
      <c r="C103" s="2" t="s">
        <v>109</v>
      </c>
      <c r="D103" s="2" t="s">
        <v>334</v>
      </c>
      <c r="E103" s="2">
        <v>2019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f t="shared" ca="1" si="8"/>
        <v>7</v>
      </c>
      <c r="L103" s="2">
        <v>1</v>
      </c>
      <c r="M103" s="2">
        <v>0</v>
      </c>
      <c r="N103" s="2">
        <v>4</v>
      </c>
      <c r="O103" s="2">
        <f t="shared" ca="1" si="9"/>
        <v>0.14285714285714285</v>
      </c>
      <c r="P103" s="2">
        <f t="shared" ca="1" si="10"/>
        <v>114.28571428571428</v>
      </c>
      <c r="Q103" s="2">
        <v>0.70709999999999995</v>
      </c>
      <c r="R103" s="2">
        <f t="shared" si="11"/>
        <v>170.71</v>
      </c>
      <c r="S103" s="2">
        <v>1</v>
      </c>
      <c r="T103" s="2">
        <v>1</v>
      </c>
      <c r="U103" s="2">
        <v>4</v>
      </c>
      <c r="V103" s="2">
        <f t="shared" si="12"/>
        <v>2</v>
      </c>
      <c r="W103" s="2">
        <v>1</v>
      </c>
      <c r="X103" s="2">
        <f t="shared" si="13"/>
        <v>1</v>
      </c>
      <c r="Y103" s="2">
        <v>4</v>
      </c>
      <c r="Z103" s="2">
        <f t="shared" si="14"/>
        <v>2</v>
      </c>
      <c r="AA103" s="2">
        <f t="shared" si="15"/>
        <v>1.7320508075688772</v>
      </c>
      <c r="AB103" s="2">
        <v>2</v>
      </c>
      <c r="AC103" s="2">
        <v>1</v>
      </c>
      <c r="AD103" s="2">
        <v>0</v>
      </c>
      <c r="AE103" s="2">
        <v>0</v>
      </c>
      <c r="AF103" s="2">
        <v>1</v>
      </c>
      <c r="AG103" s="2">
        <v>0</v>
      </c>
    </row>
    <row r="104" spans="1:33" x14ac:dyDescent="0.3">
      <c r="A104" s="2" t="s">
        <v>35</v>
      </c>
      <c r="B104" s="2" t="s">
        <v>336</v>
      </c>
      <c r="C104" s="2" t="s">
        <v>38</v>
      </c>
      <c r="D104" s="2" t="s">
        <v>337</v>
      </c>
      <c r="E104" s="2">
        <v>2010</v>
      </c>
      <c r="F104" s="2">
        <v>36</v>
      </c>
      <c r="G104" s="2">
        <v>0</v>
      </c>
      <c r="H104" s="2">
        <v>25</v>
      </c>
      <c r="I104" s="2">
        <v>21</v>
      </c>
      <c r="J104" s="2">
        <v>28</v>
      </c>
      <c r="K104" s="2">
        <f t="shared" ca="1" si="8"/>
        <v>16</v>
      </c>
      <c r="L104" s="2">
        <v>9</v>
      </c>
      <c r="M104" s="2">
        <v>9</v>
      </c>
      <c r="N104" s="2">
        <v>265</v>
      </c>
      <c r="O104" s="2">
        <f t="shared" ca="1" si="9"/>
        <v>0.5625</v>
      </c>
      <c r="P104" s="2">
        <f t="shared" ca="1" si="10"/>
        <v>65.451388888888886</v>
      </c>
      <c r="Q104" s="2">
        <v>4.6684000000000001</v>
      </c>
      <c r="R104" s="2">
        <f t="shared" si="11"/>
        <v>76.856666666666655</v>
      </c>
      <c r="S104" s="2">
        <v>9</v>
      </c>
      <c r="T104" s="2">
        <v>15</v>
      </c>
      <c r="U104" s="2">
        <v>22.8889</v>
      </c>
      <c r="V104" s="2">
        <f t="shared" si="12"/>
        <v>14.352703578071973</v>
      </c>
      <c r="W104" s="2">
        <v>4</v>
      </c>
      <c r="X104" s="2">
        <f t="shared" si="13"/>
        <v>11.61895003862225</v>
      </c>
      <c r="Y104" s="2">
        <v>17</v>
      </c>
      <c r="Z104" s="2">
        <f t="shared" si="14"/>
        <v>12.369316876852981</v>
      </c>
      <c r="AA104" s="2">
        <f t="shared" si="15"/>
        <v>11.18034435963401</v>
      </c>
      <c r="AB104" s="2">
        <v>26.3629</v>
      </c>
      <c r="AC104" s="2">
        <v>9</v>
      </c>
      <c r="AD104" s="2">
        <v>4</v>
      </c>
      <c r="AE104" s="2">
        <v>2</v>
      </c>
      <c r="AF104" s="2">
        <v>0</v>
      </c>
      <c r="AG104" s="2">
        <v>7</v>
      </c>
    </row>
    <row r="105" spans="1:33" x14ac:dyDescent="0.3">
      <c r="A105" s="2" t="s">
        <v>35</v>
      </c>
      <c r="B105" s="2" t="s">
        <v>339</v>
      </c>
      <c r="C105" s="2" t="s">
        <v>91</v>
      </c>
      <c r="D105" s="2" t="s">
        <v>340</v>
      </c>
      <c r="E105" s="2">
        <v>2016</v>
      </c>
      <c r="F105" s="2">
        <v>6</v>
      </c>
      <c r="G105" s="2">
        <v>1</v>
      </c>
      <c r="H105" s="2">
        <v>3</v>
      </c>
      <c r="I105" s="2">
        <v>2</v>
      </c>
      <c r="J105" s="2">
        <v>3</v>
      </c>
      <c r="K105" s="2">
        <f t="shared" ca="1" si="8"/>
        <v>10</v>
      </c>
      <c r="L105" s="2">
        <v>4</v>
      </c>
      <c r="M105" s="2">
        <v>3</v>
      </c>
      <c r="N105" s="2">
        <v>62</v>
      </c>
      <c r="O105" s="2">
        <f t="shared" ca="1" si="9"/>
        <v>0.4</v>
      </c>
      <c r="P105" s="2">
        <f t="shared" ca="1" si="10"/>
        <v>96.666666666666686</v>
      </c>
      <c r="Q105" s="2">
        <v>2.7538999999999998</v>
      </c>
      <c r="R105" s="2">
        <f t="shared" si="11"/>
        <v>135.89833333333334</v>
      </c>
      <c r="S105" s="2">
        <v>4</v>
      </c>
      <c r="T105" s="2">
        <v>6</v>
      </c>
      <c r="U105" s="2">
        <v>14</v>
      </c>
      <c r="V105" s="2">
        <f t="shared" si="12"/>
        <v>7.4833147735478827</v>
      </c>
      <c r="W105" s="2">
        <v>3</v>
      </c>
      <c r="X105" s="2">
        <f t="shared" si="13"/>
        <v>4.8989794855663558</v>
      </c>
      <c r="Y105" s="2">
        <v>13.5</v>
      </c>
      <c r="Z105" s="2">
        <f t="shared" si="14"/>
        <v>7.3484692283495345</v>
      </c>
      <c r="AA105" s="2">
        <f t="shared" si="15"/>
        <v>6.324555320336759</v>
      </c>
      <c r="AB105" s="2">
        <v>10.2956</v>
      </c>
      <c r="AC105" s="2">
        <v>3</v>
      </c>
      <c r="AD105" s="2">
        <v>1</v>
      </c>
      <c r="AE105" s="2">
        <v>1</v>
      </c>
      <c r="AF105" s="2">
        <v>2</v>
      </c>
      <c r="AG105" s="2">
        <v>2</v>
      </c>
    </row>
    <row r="106" spans="1:33" x14ac:dyDescent="0.3">
      <c r="A106" s="2" t="s">
        <v>35</v>
      </c>
      <c r="B106" s="2" t="s">
        <v>342</v>
      </c>
      <c r="C106" s="2" t="s">
        <v>43</v>
      </c>
      <c r="D106" s="2" t="s">
        <v>343</v>
      </c>
      <c r="E106" s="2">
        <v>2014</v>
      </c>
      <c r="F106" s="2">
        <v>6</v>
      </c>
      <c r="G106" s="2">
        <v>0</v>
      </c>
      <c r="H106" s="2">
        <v>6</v>
      </c>
      <c r="I106" s="2">
        <v>6</v>
      </c>
      <c r="J106" s="2">
        <v>6</v>
      </c>
      <c r="K106" s="2">
        <f t="shared" ca="1" si="8"/>
        <v>12</v>
      </c>
      <c r="L106" s="2">
        <v>1</v>
      </c>
      <c r="M106" s="2">
        <v>0</v>
      </c>
      <c r="N106" s="2">
        <v>3</v>
      </c>
      <c r="O106" s="2">
        <f t="shared" ca="1" si="9"/>
        <v>8.3333333333333329E-2</v>
      </c>
      <c r="P106" s="2">
        <f t="shared" ca="1" si="10"/>
        <v>68.055555555555557</v>
      </c>
      <c r="Q106" s="2">
        <v>0.40820000000000001</v>
      </c>
      <c r="R106" s="2">
        <f t="shared" si="11"/>
        <v>73.47</v>
      </c>
      <c r="S106" s="2">
        <v>1</v>
      </c>
      <c r="T106" s="2">
        <v>1</v>
      </c>
      <c r="U106" s="2">
        <v>2</v>
      </c>
      <c r="V106" s="2">
        <f t="shared" si="12"/>
        <v>1.4142135623730951</v>
      </c>
      <c r="W106" s="2">
        <v>1</v>
      </c>
      <c r="X106" s="2">
        <f t="shared" si="13"/>
        <v>1</v>
      </c>
      <c r="Y106" s="2">
        <v>2</v>
      </c>
      <c r="Z106" s="2">
        <f t="shared" si="14"/>
        <v>1.4142135623730951</v>
      </c>
      <c r="AA106" s="2">
        <f t="shared" si="15"/>
        <v>1</v>
      </c>
      <c r="AB106" s="2">
        <v>1.4141999999999999</v>
      </c>
      <c r="AC106" s="2">
        <v>1</v>
      </c>
      <c r="AD106" s="2">
        <v>0</v>
      </c>
      <c r="AE106" s="2">
        <v>0</v>
      </c>
      <c r="AF106" s="2">
        <v>0</v>
      </c>
      <c r="AG106" s="2">
        <v>1</v>
      </c>
    </row>
    <row r="107" spans="1:33" x14ac:dyDescent="0.3">
      <c r="A107" s="2" t="s">
        <v>35</v>
      </c>
      <c r="B107" s="2" t="s">
        <v>345</v>
      </c>
      <c r="C107" s="2" t="s">
        <v>43</v>
      </c>
      <c r="D107" s="2" t="s">
        <v>346</v>
      </c>
      <c r="E107" s="2">
        <v>2015</v>
      </c>
      <c r="F107" s="2">
        <v>6</v>
      </c>
      <c r="G107" s="2">
        <v>0</v>
      </c>
      <c r="H107" s="2">
        <v>6</v>
      </c>
      <c r="I107" s="2">
        <v>6</v>
      </c>
      <c r="J107" s="2">
        <v>6</v>
      </c>
      <c r="K107" s="2">
        <f t="shared" ca="1" si="8"/>
        <v>11</v>
      </c>
      <c r="L107" s="2">
        <v>1</v>
      </c>
      <c r="M107" s="2">
        <v>0</v>
      </c>
      <c r="N107" s="2">
        <v>5</v>
      </c>
      <c r="O107" s="2">
        <f t="shared" ca="1" si="9"/>
        <v>9.0909090909090912E-2</v>
      </c>
      <c r="P107" s="2">
        <f t="shared" ca="1" si="10"/>
        <v>68.181818181818187</v>
      </c>
      <c r="Q107" s="2">
        <v>1.1547000000000001</v>
      </c>
      <c r="R107" s="2">
        <f t="shared" si="11"/>
        <v>85.911666666666676</v>
      </c>
      <c r="S107" s="2">
        <v>1</v>
      </c>
      <c r="T107" s="2">
        <v>2</v>
      </c>
      <c r="U107" s="2">
        <v>4</v>
      </c>
      <c r="V107" s="2">
        <f t="shared" si="12"/>
        <v>2</v>
      </c>
      <c r="W107" s="2">
        <v>1</v>
      </c>
      <c r="X107" s="2">
        <f t="shared" si="13"/>
        <v>1.4142135623730951</v>
      </c>
      <c r="Y107" s="2">
        <v>4</v>
      </c>
      <c r="Z107" s="2">
        <f t="shared" si="14"/>
        <v>2</v>
      </c>
      <c r="AA107" s="2">
        <f t="shared" si="15"/>
        <v>1.7320508075688772</v>
      </c>
      <c r="AB107" s="2">
        <v>2</v>
      </c>
      <c r="AC107" s="2">
        <v>1</v>
      </c>
      <c r="AD107" s="2">
        <v>0</v>
      </c>
      <c r="AE107" s="2">
        <v>0</v>
      </c>
      <c r="AF107" s="2">
        <v>0</v>
      </c>
      <c r="AG107" s="2">
        <v>1</v>
      </c>
    </row>
    <row r="108" spans="1:33" x14ac:dyDescent="0.3">
      <c r="A108" s="2" t="s">
        <v>35</v>
      </c>
      <c r="B108" s="2" t="s">
        <v>348</v>
      </c>
      <c r="C108" s="2" t="s">
        <v>38</v>
      </c>
      <c r="D108" s="2" t="s">
        <v>349</v>
      </c>
      <c r="E108" s="2">
        <v>2010</v>
      </c>
      <c r="F108" s="2">
        <v>87</v>
      </c>
      <c r="G108" s="2">
        <v>35</v>
      </c>
      <c r="H108" s="2">
        <v>29</v>
      </c>
      <c r="I108" s="2">
        <v>28</v>
      </c>
      <c r="J108" s="2">
        <v>41</v>
      </c>
      <c r="K108" s="2">
        <f t="shared" ca="1" si="8"/>
        <v>16</v>
      </c>
      <c r="L108" s="2">
        <v>17</v>
      </c>
      <c r="M108" s="2">
        <v>25</v>
      </c>
      <c r="N108" s="2">
        <v>874</v>
      </c>
      <c r="O108" s="2">
        <f t="shared" ca="1" si="9"/>
        <v>1.0625</v>
      </c>
      <c r="P108" s="2">
        <f t="shared" ca="1" si="10"/>
        <v>40.301724137931032</v>
      </c>
      <c r="Q108" s="2">
        <v>8.8842999999999996</v>
      </c>
      <c r="R108" s="2">
        <f t="shared" si="11"/>
        <v>49.292298850574703</v>
      </c>
      <c r="S108" s="2">
        <v>17</v>
      </c>
      <c r="T108" s="2">
        <v>26</v>
      </c>
      <c r="U108" s="2">
        <v>35.235300000000002</v>
      </c>
      <c r="V108" s="2">
        <f t="shared" si="12"/>
        <v>24.474478543985366</v>
      </c>
      <c r="W108" s="2">
        <v>5</v>
      </c>
      <c r="X108" s="2">
        <f t="shared" si="13"/>
        <v>21.023796041628639</v>
      </c>
      <c r="Y108" s="2">
        <v>27</v>
      </c>
      <c r="Z108" s="2">
        <f t="shared" si="14"/>
        <v>21.42428528562855</v>
      </c>
      <c r="AA108" s="2">
        <f t="shared" si="15"/>
        <v>17.606819701467955</v>
      </c>
      <c r="AB108" s="2">
        <v>62.417900000000003</v>
      </c>
      <c r="AC108" s="2">
        <v>14</v>
      </c>
      <c r="AD108" s="2">
        <v>5</v>
      </c>
      <c r="AE108" s="2">
        <v>5</v>
      </c>
      <c r="AF108" s="2">
        <v>9</v>
      </c>
      <c r="AG108" s="2">
        <v>11</v>
      </c>
    </row>
    <row r="109" spans="1:33" x14ac:dyDescent="0.3">
      <c r="A109" s="2" t="s">
        <v>35</v>
      </c>
      <c r="B109" s="2" t="s">
        <v>351</v>
      </c>
      <c r="C109" s="2" t="s">
        <v>99</v>
      </c>
      <c r="D109" s="2" t="s">
        <v>352</v>
      </c>
      <c r="E109" s="2">
        <v>1996</v>
      </c>
      <c r="F109" s="2">
        <v>268</v>
      </c>
      <c r="G109" s="2">
        <v>93</v>
      </c>
      <c r="H109" s="2">
        <v>72</v>
      </c>
      <c r="I109" s="2">
        <v>36</v>
      </c>
      <c r="J109" s="2">
        <v>92</v>
      </c>
      <c r="K109" s="2">
        <f t="shared" ca="1" si="8"/>
        <v>30</v>
      </c>
      <c r="L109" s="2">
        <v>33</v>
      </c>
      <c r="M109" s="2">
        <v>96</v>
      </c>
      <c r="N109" s="2">
        <v>4640</v>
      </c>
      <c r="O109" s="2">
        <f t="shared" ca="1" si="9"/>
        <v>1.1000000000000001</v>
      </c>
      <c r="P109" s="2">
        <f t="shared" ca="1" si="10"/>
        <v>26.417910447761194</v>
      </c>
      <c r="Q109" s="2">
        <v>20.600999999999999</v>
      </c>
      <c r="R109" s="2">
        <f t="shared" si="11"/>
        <v>33.694402985074632</v>
      </c>
      <c r="S109" s="2">
        <v>33</v>
      </c>
      <c r="T109" s="2">
        <v>62</v>
      </c>
      <c r="U109" s="2">
        <v>93.636399999999995</v>
      </c>
      <c r="V109" s="2">
        <f t="shared" si="12"/>
        <v>55.587779232489581</v>
      </c>
      <c r="W109" s="2">
        <v>9</v>
      </c>
      <c r="X109" s="2">
        <f t="shared" si="13"/>
        <v>45.232731511594565</v>
      </c>
      <c r="Y109" s="2">
        <v>62</v>
      </c>
      <c r="Z109" s="2">
        <f t="shared" si="14"/>
        <v>45.232731511594565</v>
      </c>
      <c r="AA109" s="2">
        <f t="shared" si="15"/>
        <v>44.732551905743087</v>
      </c>
      <c r="AB109" s="2">
        <v>179.81659999999999</v>
      </c>
      <c r="AC109" s="2">
        <v>22</v>
      </c>
      <c r="AD109" s="2">
        <v>13</v>
      </c>
      <c r="AE109" s="2">
        <v>17</v>
      </c>
      <c r="AF109" s="2">
        <v>25</v>
      </c>
      <c r="AG109" s="2">
        <v>13</v>
      </c>
    </row>
    <row r="110" spans="1:33" x14ac:dyDescent="0.3">
      <c r="A110" s="2" t="s">
        <v>35</v>
      </c>
      <c r="B110" s="2" t="s">
        <v>354</v>
      </c>
      <c r="C110" s="2" t="s">
        <v>51</v>
      </c>
      <c r="D110" s="2" t="s">
        <v>355</v>
      </c>
      <c r="E110" s="2">
        <v>1990</v>
      </c>
      <c r="F110" s="2">
        <v>80</v>
      </c>
      <c r="G110" s="2">
        <v>33</v>
      </c>
      <c r="H110" s="2">
        <v>34</v>
      </c>
      <c r="I110" s="2">
        <v>7</v>
      </c>
      <c r="J110" s="2">
        <v>35</v>
      </c>
      <c r="K110" s="2">
        <f t="shared" ca="1" si="8"/>
        <v>36</v>
      </c>
      <c r="L110" s="2">
        <v>14</v>
      </c>
      <c r="M110" s="2">
        <v>17</v>
      </c>
      <c r="N110" s="2">
        <v>814</v>
      </c>
      <c r="O110" s="2">
        <f t="shared" ca="1" si="9"/>
        <v>0.3888888888888889</v>
      </c>
      <c r="P110" s="2">
        <f t="shared" ca="1" si="10"/>
        <v>35.736111111111114</v>
      </c>
      <c r="Q110" s="2">
        <v>6.7271000000000001</v>
      </c>
      <c r="R110" s="2">
        <f t="shared" si="11"/>
        <v>43.658874999999995</v>
      </c>
      <c r="S110" s="2">
        <v>14</v>
      </c>
      <c r="T110" s="2">
        <v>27</v>
      </c>
      <c r="U110" s="2">
        <v>48</v>
      </c>
      <c r="V110" s="2">
        <f t="shared" si="12"/>
        <v>25.922962793631442</v>
      </c>
      <c r="W110" s="2">
        <v>6</v>
      </c>
      <c r="X110" s="2">
        <f t="shared" si="13"/>
        <v>19.442222095223581</v>
      </c>
      <c r="Y110" s="2">
        <v>32</v>
      </c>
      <c r="Z110" s="2">
        <f t="shared" si="14"/>
        <v>21.166010488516726</v>
      </c>
      <c r="AA110" s="2">
        <f t="shared" si="15"/>
        <v>21.817424229271428</v>
      </c>
      <c r="AB110" s="2">
        <v>56.797899999999998</v>
      </c>
      <c r="AC110" s="2">
        <v>9</v>
      </c>
      <c r="AD110" s="2">
        <v>7</v>
      </c>
      <c r="AE110" s="2">
        <v>5</v>
      </c>
      <c r="AF110" s="2">
        <v>10</v>
      </c>
      <c r="AG110" s="2">
        <v>2</v>
      </c>
    </row>
    <row r="111" spans="1:33" x14ac:dyDescent="0.3">
      <c r="A111" s="2" t="s">
        <v>35</v>
      </c>
      <c r="B111" s="2" t="s">
        <v>357</v>
      </c>
      <c r="C111" s="2" t="s">
        <v>43</v>
      </c>
      <c r="D111" s="2" t="s">
        <v>358</v>
      </c>
      <c r="E111" s="2">
        <v>2002</v>
      </c>
      <c r="F111" s="2">
        <v>44</v>
      </c>
      <c r="G111" s="2">
        <v>0</v>
      </c>
      <c r="H111" s="2">
        <v>20</v>
      </c>
      <c r="I111" s="2">
        <v>14</v>
      </c>
      <c r="J111" s="2">
        <v>20</v>
      </c>
      <c r="K111" s="2">
        <f t="shared" ca="1" si="8"/>
        <v>24</v>
      </c>
      <c r="L111" s="2">
        <v>6</v>
      </c>
      <c r="M111" s="2">
        <v>4</v>
      </c>
      <c r="N111" s="2">
        <v>145</v>
      </c>
      <c r="O111" s="2">
        <f t="shared" ca="1" si="9"/>
        <v>0.25</v>
      </c>
      <c r="P111" s="2">
        <f t="shared" ca="1" si="10"/>
        <v>36.931818181818187</v>
      </c>
      <c r="Q111" s="2">
        <v>4.9565000000000001</v>
      </c>
      <c r="R111" s="2">
        <f t="shared" si="11"/>
        <v>47.628409090909095</v>
      </c>
      <c r="S111" s="2">
        <v>6</v>
      </c>
      <c r="T111" s="2">
        <v>11</v>
      </c>
      <c r="U111" s="2">
        <v>19.166699999999999</v>
      </c>
      <c r="V111" s="2">
        <f t="shared" si="12"/>
        <v>10.723814619807635</v>
      </c>
      <c r="W111" s="2">
        <v>3</v>
      </c>
      <c r="X111" s="2">
        <f t="shared" si="13"/>
        <v>8.1240384046359608</v>
      </c>
      <c r="Y111" s="2">
        <v>16</v>
      </c>
      <c r="Z111" s="2">
        <f t="shared" si="14"/>
        <v>9.7979589711327115</v>
      </c>
      <c r="AA111" s="2">
        <f t="shared" si="15"/>
        <v>8.8882056681874761</v>
      </c>
      <c r="AB111" s="2">
        <v>16.673300000000001</v>
      </c>
      <c r="AC111" s="2">
        <v>5</v>
      </c>
      <c r="AD111" s="2">
        <v>1</v>
      </c>
      <c r="AE111" s="2">
        <v>2</v>
      </c>
      <c r="AF111" s="2">
        <v>4</v>
      </c>
      <c r="AG111" s="2">
        <v>3</v>
      </c>
    </row>
    <row r="112" spans="1:33" x14ac:dyDescent="0.3">
      <c r="A112" s="2" t="s">
        <v>35</v>
      </c>
      <c r="B112" s="2" t="s">
        <v>360</v>
      </c>
      <c r="C112" s="2" t="s">
        <v>109</v>
      </c>
      <c r="D112" s="2" t="s">
        <v>361</v>
      </c>
      <c r="E112" s="2">
        <v>1996</v>
      </c>
      <c r="F112" s="2">
        <v>54</v>
      </c>
      <c r="G112" s="2">
        <v>7</v>
      </c>
      <c r="H112" s="2">
        <v>11</v>
      </c>
      <c r="I112" s="2">
        <v>6</v>
      </c>
      <c r="J112" s="2">
        <v>12</v>
      </c>
      <c r="K112" s="2">
        <f t="shared" ca="1" si="8"/>
        <v>30</v>
      </c>
      <c r="L112" s="2">
        <v>8</v>
      </c>
      <c r="M112" s="2">
        <v>7</v>
      </c>
      <c r="N112" s="2">
        <v>316</v>
      </c>
      <c r="O112" s="2">
        <f t="shared" ca="1" si="9"/>
        <v>0.26666666666666666</v>
      </c>
      <c r="P112" s="2">
        <f t="shared" ca="1" si="10"/>
        <v>25.123456790123459</v>
      </c>
      <c r="Q112" s="2">
        <v>3.8090000000000002</v>
      </c>
      <c r="R112" s="2">
        <f t="shared" si="11"/>
        <v>31.683333333333337</v>
      </c>
      <c r="S112" s="2">
        <v>8</v>
      </c>
      <c r="T112" s="2">
        <v>16</v>
      </c>
      <c r="U112" s="2">
        <v>28.875</v>
      </c>
      <c r="V112" s="2">
        <f t="shared" si="12"/>
        <v>15.198684153570664</v>
      </c>
      <c r="W112" s="2">
        <v>4</v>
      </c>
      <c r="X112" s="2">
        <f t="shared" si="13"/>
        <v>11.313708498984761</v>
      </c>
      <c r="Y112" s="2">
        <v>19</v>
      </c>
      <c r="Z112" s="2">
        <f t="shared" si="14"/>
        <v>12.328828005937952</v>
      </c>
      <c r="AA112" s="2">
        <f t="shared" si="15"/>
        <v>12.922847983320086</v>
      </c>
      <c r="AB112" s="2">
        <v>25.6905</v>
      </c>
      <c r="AC112" s="2">
        <v>6</v>
      </c>
      <c r="AD112" s="2">
        <v>2</v>
      </c>
      <c r="AE112" s="2">
        <v>5</v>
      </c>
      <c r="AF112" s="2">
        <v>4</v>
      </c>
      <c r="AG112" s="2">
        <v>3</v>
      </c>
    </row>
    <row r="113" spans="1:33" x14ac:dyDescent="0.3">
      <c r="A113" s="2" t="s">
        <v>35</v>
      </c>
      <c r="B113" s="2" t="s">
        <v>363</v>
      </c>
      <c r="C113" s="2" t="s">
        <v>51</v>
      </c>
      <c r="D113" s="2" t="s">
        <v>364</v>
      </c>
      <c r="E113" s="2">
        <v>1994</v>
      </c>
      <c r="F113" s="2">
        <v>93</v>
      </c>
      <c r="G113" s="2">
        <v>62</v>
      </c>
      <c r="H113" s="2">
        <v>14</v>
      </c>
      <c r="I113" s="2">
        <v>30</v>
      </c>
      <c r="J113" s="2">
        <v>44</v>
      </c>
      <c r="K113" s="2">
        <f t="shared" ca="1" si="8"/>
        <v>32</v>
      </c>
      <c r="L113" s="2">
        <v>41</v>
      </c>
      <c r="M113" s="2">
        <v>65</v>
      </c>
      <c r="N113" s="2">
        <v>5233</v>
      </c>
      <c r="O113" s="2">
        <f t="shared" ca="1" si="9"/>
        <v>1.28125</v>
      </c>
      <c r="P113" s="2">
        <f t="shared" ca="1" si="10"/>
        <v>62.452956989247305</v>
      </c>
      <c r="Q113" s="2">
        <v>17.5307</v>
      </c>
      <c r="R113" s="2">
        <f t="shared" si="11"/>
        <v>79.925483870967724</v>
      </c>
      <c r="S113" s="2">
        <v>41</v>
      </c>
      <c r="T113" s="2">
        <v>72</v>
      </c>
      <c r="U113" s="2">
        <v>113.51220000000001</v>
      </c>
      <c r="V113" s="2">
        <f t="shared" si="12"/>
        <v>68.220233069082965</v>
      </c>
      <c r="W113" s="2">
        <v>10</v>
      </c>
      <c r="X113" s="2">
        <f t="shared" si="13"/>
        <v>54.332310828824497</v>
      </c>
      <c r="Y113" s="2">
        <v>64</v>
      </c>
      <c r="Z113" s="2">
        <f t="shared" si="14"/>
        <v>51.224993899462788</v>
      </c>
      <c r="AA113" s="2">
        <f t="shared" si="15"/>
        <v>54.525225354875886</v>
      </c>
      <c r="AB113" s="2">
        <v>232.8734</v>
      </c>
      <c r="AC113" s="2">
        <v>28</v>
      </c>
      <c r="AD113" s="2">
        <v>8</v>
      </c>
      <c r="AE113" s="2">
        <v>3</v>
      </c>
      <c r="AF113" s="2">
        <v>22</v>
      </c>
      <c r="AG113" s="2">
        <v>22</v>
      </c>
    </row>
    <row r="114" spans="1:33" x14ac:dyDescent="0.3">
      <c r="A114" s="2" t="s">
        <v>35</v>
      </c>
      <c r="B114" s="2" t="s">
        <v>366</v>
      </c>
      <c r="C114" s="2" t="s">
        <v>38</v>
      </c>
      <c r="D114" s="2" t="s">
        <v>367</v>
      </c>
      <c r="E114" s="2">
        <v>2021</v>
      </c>
      <c r="F114" s="2">
        <v>15</v>
      </c>
      <c r="G114" s="2">
        <v>13</v>
      </c>
      <c r="H114" s="2">
        <v>3</v>
      </c>
      <c r="I114" s="2">
        <v>1</v>
      </c>
      <c r="J114" s="2">
        <v>3</v>
      </c>
      <c r="K114" s="2">
        <f t="shared" ca="1" si="8"/>
        <v>5</v>
      </c>
      <c r="L114" s="2">
        <v>2</v>
      </c>
      <c r="M114" s="2">
        <v>0</v>
      </c>
      <c r="N114" s="2">
        <v>18</v>
      </c>
      <c r="O114" s="2">
        <f t="shared" ca="1" si="9"/>
        <v>0.4</v>
      </c>
      <c r="P114" s="2">
        <f t="shared" ca="1" si="10"/>
        <v>17.333333333333336</v>
      </c>
      <c r="Q114" s="2">
        <v>1.6278999999999999</v>
      </c>
      <c r="R114" s="2">
        <f t="shared" si="11"/>
        <v>25.519333333333336</v>
      </c>
      <c r="S114" s="2">
        <v>2</v>
      </c>
      <c r="T114" s="2">
        <v>4</v>
      </c>
      <c r="U114" s="2">
        <v>6</v>
      </c>
      <c r="V114" s="2">
        <f t="shared" si="12"/>
        <v>3.4641016151377544</v>
      </c>
      <c r="W114" s="2">
        <v>2</v>
      </c>
      <c r="X114" s="2">
        <f t="shared" si="13"/>
        <v>2.8284271247461903</v>
      </c>
      <c r="Y114" s="2">
        <v>6</v>
      </c>
      <c r="Z114" s="2">
        <f t="shared" si="14"/>
        <v>3.4641016151377544</v>
      </c>
      <c r="AA114" s="2">
        <f t="shared" si="15"/>
        <v>2.8284271247461903</v>
      </c>
      <c r="AB114" s="2">
        <v>4.1231</v>
      </c>
      <c r="AC114" s="2">
        <v>1</v>
      </c>
      <c r="AD114" s="2">
        <v>0</v>
      </c>
      <c r="AE114" s="2">
        <v>1</v>
      </c>
      <c r="AF114" s="2">
        <v>2</v>
      </c>
      <c r="AG114" s="2">
        <v>1</v>
      </c>
    </row>
    <row r="115" spans="1:33" x14ac:dyDescent="0.3">
      <c r="A115" s="2" t="s">
        <v>35</v>
      </c>
      <c r="B115" s="2" t="s">
        <v>369</v>
      </c>
      <c r="C115" s="2" t="s">
        <v>91</v>
      </c>
      <c r="D115" s="2" t="s">
        <v>370</v>
      </c>
      <c r="E115" s="2">
        <v>1992</v>
      </c>
      <c r="F115" s="2">
        <v>102</v>
      </c>
      <c r="G115" s="2">
        <v>6</v>
      </c>
      <c r="H115" s="2">
        <v>52</v>
      </c>
      <c r="I115" s="2">
        <v>45</v>
      </c>
      <c r="J115" s="2">
        <v>56</v>
      </c>
      <c r="K115" s="2">
        <f t="shared" ca="1" si="8"/>
        <v>34</v>
      </c>
      <c r="L115" s="2">
        <v>16</v>
      </c>
      <c r="M115" s="2">
        <v>22</v>
      </c>
      <c r="N115" s="2">
        <v>1090</v>
      </c>
      <c r="O115" s="2">
        <f t="shared" ca="1" si="9"/>
        <v>0.47058823529411764</v>
      </c>
      <c r="P115" s="2">
        <f t="shared" ca="1" si="10"/>
        <v>43.010380622837367</v>
      </c>
      <c r="Q115" s="2">
        <v>8.8277000000000001</v>
      </c>
      <c r="R115" s="2">
        <f t="shared" si="11"/>
        <v>51.203627450980392</v>
      </c>
      <c r="S115" s="2">
        <v>16</v>
      </c>
      <c r="T115" s="2">
        <v>31</v>
      </c>
      <c r="U115" s="2">
        <v>54.25</v>
      </c>
      <c r="V115" s="2">
        <f t="shared" si="12"/>
        <v>29.461839725312469</v>
      </c>
      <c r="W115" s="2">
        <v>7</v>
      </c>
      <c r="X115" s="2">
        <f t="shared" si="13"/>
        <v>22.271057451320086</v>
      </c>
      <c r="Y115" s="2">
        <v>48.5</v>
      </c>
      <c r="Z115" s="2">
        <f t="shared" si="14"/>
        <v>27.856776554368238</v>
      </c>
      <c r="AA115" s="2">
        <f t="shared" si="15"/>
        <v>24.738633753705962</v>
      </c>
      <c r="AB115" s="2">
        <v>71.449299999999994</v>
      </c>
      <c r="AC115" s="2">
        <v>12</v>
      </c>
      <c r="AD115" s="2">
        <v>5</v>
      </c>
      <c r="AE115" s="2">
        <v>10</v>
      </c>
      <c r="AF115" s="2">
        <v>6</v>
      </c>
      <c r="AG115" s="2">
        <v>6</v>
      </c>
    </row>
    <row r="116" spans="1:33" x14ac:dyDescent="0.3">
      <c r="A116" s="2" t="s">
        <v>35</v>
      </c>
      <c r="B116" s="2" t="s">
        <v>372</v>
      </c>
      <c r="C116" s="2" t="s">
        <v>38</v>
      </c>
      <c r="D116" s="2" t="s">
        <v>373</v>
      </c>
      <c r="E116" s="2">
        <v>2007</v>
      </c>
      <c r="F116" s="2">
        <v>70</v>
      </c>
      <c r="G116" s="2">
        <v>24</v>
      </c>
      <c r="H116" s="2">
        <v>20</v>
      </c>
      <c r="I116" s="2">
        <v>13</v>
      </c>
      <c r="J116" s="2">
        <v>29</v>
      </c>
      <c r="K116" s="2">
        <f t="shared" ca="1" si="8"/>
        <v>19</v>
      </c>
      <c r="L116" s="2">
        <v>7</v>
      </c>
      <c r="M116" s="2">
        <v>3</v>
      </c>
      <c r="N116" s="2">
        <v>158</v>
      </c>
      <c r="O116" s="2">
        <f t="shared" ca="1" si="9"/>
        <v>0.36842105263157893</v>
      </c>
      <c r="P116" s="2">
        <f t="shared" ca="1" si="10"/>
        <v>27.812030075187973</v>
      </c>
      <c r="Q116" s="2">
        <v>4.0758000000000001</v>
      </c>
      <c r="R116" s="2">
        <f t="shared" si="11"/>
        <v>33.108285714285721</v>
      </c>
      <c r="S116" s="2">
        <v>7</v>
      </c>
      <c r="T116" s="2">
        <v>10</v>
      </c>
      <c r="U116" s="2">
        <v>14.857100000000001</v>
      </c>
      <c r="V116" s="2">
        <f t="shared" si="12"/>
        <v>10.198024318464828</v>
      </c>
      <c r="W116" s="2">
        <v>3</v>
      </c>
      <c r="X116" s="2">
        <f t="shared" si="13"/>
        <v>8.3666002653407556</v>
      </c>
      <c r="Y116" s="2">
        <v>9</v>
      </c>
      <c r="Z116" s="2">
        <f t="shared" si="14"/>
        <v>7.9372539331937721</v>
      </c>
      <c r="AA116" s="2">
        <f t="shared" si="15"/>
        <v>7.4161782610722087</v>
      </c>
      <c r="AB116" s="2">
        <v>17.175599999999999</v>
      </c>
      <c r="AC116" s="2">
        <v>5</v>
      </c>
      <c r="AD116" s="2">
        <v>2</v>
      </c>
      <c r="AE116" s="2">
        <v>0</v>
      </c>
      <c r="AF116" s="2">
        <v>4</v>
      </c>
      <c r="AG116" s="2">
        <v>5</v>
      </c>
    </row>
    <row r="117" spans="1:33" x14ac:dyDescent="0.3">
      <c r="A117" s="2" t="s">
        <v>35</v>
      </c>
      <c r="B117" s="2" t="s">
        <v>375</v>
      </c>
      <c r="C117" s="2" t="s">
        <v>43</v>
      </c>
      <c r="D117" s="2" t="s">
        <v>376</v>
      </c>
      <c r="E117" s="2">
        <v>2010</v>
      </c>
      <c r="F117" s="2">
        <v>11</v>
      </c>
      <c r="G117" s="2">
        <v>1</v>
      </c>
      <c r="H117" s="2">
        <v>10</v>
      </c>
      <c r="I117" s="2">
        <v>10</v>
      </c>
      <c r="J117" s="2">
        <v>10</v>
      </c>
      <c r="K117" s="2">
        <f t="shared" ca="1" si="8"/>
        <v>16</v>
      </c>
      <c r="L117" s="2">
        <v>2</v>
      </c>
      <c r="M117" s="2">
        <v>0</v>
      </c>
      <c r="N117" s="2">
        <v>11</v>
      </c>
      <c r="O117" s="2">
        <f t="shared" ca="1" si="9"/>
        <v>0.125</v>
      </c>
      <c r="P117" s="2">
        <f t="shared" ca="1" si="10"/>
        <v>63.863636363636374</v>
      </c>
      <c r="Q117" s="2">
        <v>1.5</v>
      </c>
      <c r="R117" s="2">
        <f t="shared" si="11"/>
        <v>76.363636363636374</v>
      </c>
      <c r="S117" s="2">
        <v>2</v>
      </c>
      <c r="T117" s="2">
        <v>3</v>
      </c>
      <c r="U117" s="2">
        <v>4</v>
      </c>
      <c r="V117" s="2">
        <f t="shared" si="12"/>
        <v>2.8284271247461903</v>
      </c>
      <c r="W117" s="2">
        <v>1</v>
      </c>
      <c r="X117" s="2">
        <f t="shared" si="13"/>
        <v>2.4494897427831779</v>
      </c>
      <c r="Y117" s="2">
        <v>4</v>
      </c>
      <c r="Z117" s="2">
        <f t="shared" si="14"/>
        <v>2.8284271247461903</v>
      </c>
      <c r="AA117" s="2">
        <f t="shared" si="15"/>
        <v>2</v>
      </c>
      <c r="AB117" s="2">
        <v>3.3166000000000002</v>
      </c>
      <c r="AC117" s="2">
        <v>1</v>
      </c>
      <c r="AD117" s="2">
        <v>0</v>
      </c>
      <c r="AE117" s="2">
        <v>0</v>
      </c>
      <c r="AF117" s="2">
        <v>1</v>
      </c>
      <c r="AG117" s="2">
        <v>1</v>
      </c>
    </row>
    <row r="118" spans="1:33" x14ac:dyDescent="0.3">
      <c r="A118" s="2" t="s">
        <v>35</v>
      </c>
      <c r="B118" s="2" t="s">
        <v>378</v>
      </c>
      <c r="C118" s="2" t="s">
        <v>55</v>
      </c>
      <c r="D118" s="2" t="s">
        <v>379</v>
      </c>
      <c r="E118" s="2">
        <v>1994</v>
      </c>
      <c r="F118" s="2">
        <v>8</v>
      </c>
      <c r="G118" s="2">
        <v>0</v>
      </c>
      <c r="H118" s="2">
        <v>7</v>
      </c>
      <c r="I118" s="2">
        <v>7</v>
      </c>
      <c r="J118" s="2">
        <v>7</v>
      </c>
      <c r="K118" s="2">
        <f t="shared" ca="1" si="8"/>
        <v>32</v>
      </c>
      <c r="L118" s="2">
        <v>1</v>
      </c>
      <c r="M118" s="2">
        <v>1</v>
      </c>
      <c r="N118" s="2">
        <v>61</v>
      </c>
      <c r="O118" s="2">
        <f t="shared" ca="1" si="9"/>
        <v>3.125E-2</v>
      </c>
      <c r="P118" s="2">
        <f t="shared" ca="1" si="10"/>
        <v>56.640625</v>
      </c>
      <c r="Q118" s="2">
        <v>1.5064</v>
      </c>
      <c r="R118" s="2">
        <f t="shared" si="11"/>
        <v>75.08</v>
      </c>
      <c r="S118" s="2">
        <v>1</v>
      </c>
      <c r="T118" s="2">
        <v>7</v>
      </c>
      <c r="U118" s="2">
        <v>59</v>
      </c>
      <c r="V118" s="2">
        <f t="shared" si="12"/>
        <v>7.6811457478686078</v>
      </c>
      <c r="W118" s="2">
        <v>1</v>
      </c>
      <c r="X118" s="2">
        <f t="shared" si="13"/>
        <v>2.6457513110645907</v>
      </c>
      <c r="Y118" s="2">
        <v>59</v>
      </c>
      <c r="Z118" s="2">
        <f t="shared" si="14"/>
        <v>7.6811457478686078</v>
      </c>
      <c r="AA118" s="2">
        <f t="shared" si="15"/>
        <v>7.6157731058639087</v>
      </c>
      <c r="AB118" s="2">
        <v>7.6810999999999998</v>
      </c>
      <c r="AC118" s="2">
        <v>1</v>
      </c>
      <c r="AD118" s="2">
        <v>0</v>
      </c>
      <c r="AE118" s="2">
        <v>0</v>
      </c>
      <c r="AF118" s="2">
        <v>1</v>
      </c>
      <c r="AG118" s="2">
        <v>1</v>
      </c>
    </row>
    <row r="119" spans="1:33" x14ac:dyDescent="0.3">
      <c r="A119" s="2" t="s">
        <v>35</v>
      </c>
      <c r="B119" s="2" t="s">
        <v>1079</v>
      </c>
      <c r="C119" s="2" t="s">
        <v>1080</v>
      </c>
      <c r="D119" s="2" t="s">
        <v>1081</v>
      </c>
      <c r="E119" s="2">
        <v>2026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f t="shared" ca="1" si="8"/>
        <v>1</v>
      </c>
      <c r="L119" s="2">
        <v>0</v>
      </c>
      <c r="M119" s="2">
        <v>0</v>
      </c>
      <c r="N119" s="2">
        <v>0</v>
      </c>
      <c r="O119" s="2">
        <f t="shared" ca="1" si="9"/>
        <v>0</v>
      </c>
      <c r="P119" s="2">
        <f t="shared" ca="1" si="10"/>
        <v>0</v>
      </c>
      <c r="Q119" s="2">
        <v>0</v>
      </c>
      <c r="R119" s="2">
        <f t="shared" si="11"/>
        <v>0</v>
      </c>
      <c r="S119" s="2">
        <v>0</v>
      </c>
      <c r="T119" s="2">
        <v>0</v>
      </c>
      <c r="U119" s="2">
        <v>0</v>
      </c>
      <c r="V119" s="2">
        <f t="shared" si="12"/>
        <v>0</v>
      </c>
      <c r="W119" s="2">
        <v>0</v>
      </c>
      <c r="X119" s="2">
        <f t="shared" si="13"/>
        <v>0</v>
      </c>
      <c r="Y119" s="2">
        <v>0</v>
      </c>
      <c r="Z119" s="2">
        <f t="shared" si="14"/>
        <v>0</v>
      </c>
      <c r="AA119" s="2">
        <f t="shared" si="15"/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 x14ac:dyDescent="0.3">
      <c r="A120" s="2" t="s">
        <v>35</v>
      </c>
      <c r="B120" s="2" t="s">
        <v>1082</v>
      </c>
      <c r="C120" s="2" t="s">
        <v>43</v>
      </c>
      <c r="D120" s="2" t="s">
        <v>1083</v>
      </c>
      <c r="E120" s="2">
        <v>2025</v>
      </c>
      <c r="F120" s="2">
        <v>1</v>
      </c>
      <c r="G120" s="2">
        <v>0</v>
      </c>
      <c r="H120" s="2">
        <v>1</v>
      </c>
      <c r="I120" s="2">
        <v>0</v>
      </c>
      <c r="J120" s="2">
        <v>1</v>
      </c>
      <c r="K120" s="2">
        <f t="shared" ca="1" si="8"/>
        <v>1</v>
      </c>
      <c r="L120" s="2">
        <v>0</v>
      </c>
      <c r="M120" s="2">
        <v>0</v>
      </c>
      <c r="N120" s="2">
        <v>0</v>
      </c>
      <c r="O120" s="2">
        <f t="shared" ca="1" si="9"/>
        <v>0</v>
      </c>
      <c r="P120" s="2">
        <f t="shared" ca="1" si="10"/>
        <v>50</v>
      </c>
      <c r="Q120" s="2">
        <v>0</v>
      </c>
      <c r="R120" s="2">
        <f t="shared" si="11"/>
        <v>50</v>
      </c>
      <c r="S120" s="2">
        <v>0</v>
      </c>
      <c r="T120" s="2">
        <v>0</v>
      </c>
      <c r="U120" s="2">
        <v>0</v>
      </c>
      <c r="V120" s="2">
        <f t="shared" si="12"/>
        <v>0</v>
      </c>
      <c r="W120" s="2">
        <v>0</v>
      </c>
      <c r="X120" s="2">
        <f t="shared" si="13"/>
        <v>0</v>
      </c>
      <c r="Y120" s="2">
        <v>0</v>
      </c>
      <c r="Z120" s="2">
        <f t="shared" si="14"/>
        <v>0</v>
      </c>
      <c r="AA120" s="2">
        <f t="shared" si="15"/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 x14ac:dyDescent="0.3">
      <c r="A121" s="2" t="s">
        <v>35</v>
      </c>
      <c r="B121" s="2" t="s">
        <v>381</v>
      </c>
      <c r="C121" s="2" t="s">
        <v>99</v>
      </c>
      <c r="D121" s="2" t="s">
        <v>382</v>
      </c>
      <c r="E121" s="2">
        <v>2009</v>
      </c>
      <c r="F121" s="2">
        <v>4</v>
      </c>
      <c r="G121" s="2">
        <v>3</v>
      </c>
      <c r="H121" s="2">
        <v>1</v>
      </c>
      <c r="I121" s="2">
        <v>0</v>
      </c>
      <c r="J121" s="2">
        <v>1</v>
      </c>
      <c r="K121" s="2">
        <f t="shared" ca="1" si="8"/>
        <v>17</v>
      </c>
      <c r="L121" s="2">
        <v>2</v>
      </c>
      <c r="M121" s="2">
        <v>2</v>
      </c>
      <c r="N121" s="2">
        <v>40</v>
      </c>
      <c r="O121" s="2">
        <f t="shared" ca="1" si="9"/>
        <v>0.11764705882352941</v>
      </c>
      <c r="P121" s="2">
        <f t="shared" ca="1" si="10"/>
        <v>57.941176470588239</v>
      </c>
      <c r="Q121" s="2">
        <v>1.5840000000000001</v>
      </c>
      <c r="R121" s="2">
        <f t="shared" si="11"/>
        <v>94.600000000000009</v>
      </c>
      <c r="S121" s="2">
        <v>2</v>
      </c>
      <c r="T121" s="2">
        <v>4</v>
      </c>
      <c r="U121" s="2">
        <v>19</v>
      </c>
      <c r="V121" s="2">
        <f t="shared" si="12"/>
        <v>6.164414002968976</v>
      </c>
      <c r="W121" s="2">
        <v>2</v>
      </c>
      <c r="X121" s="2">
        <f t="shared" si="13"/>
        <v>2.8284271247461903</v>
      </c>
      <c r="Y121" s="2">
        <v>19</v>
      </c>
      <c r="Z121" s="2">
        <f t="shared" si="14"/>
        <v>6.164414002968976</v>
      </c>
      <c r="AA121" s="2">
        <f t="shared" si="15"/>
        <v>5.8309518948453007</v>
      </c>
      <c r="AB121" s="2">
        <v>7.2801</v>
      </c>
      <c r="AC121" s="2">
        <v>2</v>
      </c>
      <c r="AD121" s="2">
        <v>1</v>
      </c>
      <c r="AE121" s="2">
        <v>0</v>
      </c>
      <c r="AF121" s="2">
        <v>2</v>
      </c>
      <c r="AG121" s="2">
        <v>0</v>
      </c>
    </row>
    <row r="122" spans="1:33" x14ac:dyDescent="0.3">
      <c r="A122" s="2" t="s">
        <v>35</v>
      </c>
      <c r="B122" s="2" t="s">
        <v>384</v>
      </c>
      <c r="C122" s="2" t="s">
        <v>43</v>
      </c>
      <c r="D122" s="2" t="s">
        <v>385</v>
      </c>
      <c r="E122" s="2">
        <v>2017</v>
      </c>
      <c r="F122" s="2">
        <v>5</v>
      </c>
      <c r="G122" s="2">
        <v>0</v>
      </c>
      <c r="H122" s="2">
        <v>4</v>
      </c>
      <c r="I122" s="2">
        <v>4</v>
      </c>
      <c r="J122" s="2">
        <v>4</v>
      </c>
      <c r="K122" s="2">
        <f t="shared" ca="1" si="8"/>
        <v>9</v>
      </c>
      <c r="L122" s="2">
        <v>1</v>
      </c>
      <c r="M122" s="2">
        <v>0</v>
      </c>
      <c r="N122" s="2">
        <v>8</v>
      </c>
      <c r="O122" s="2">
        <f t="shared" ca="1" si="9"/>
        <v>0.1111111111111111</v>
      </c>
      <c r="P122" s="2">
        <f t="shared" ca="1" si="10"/>
        <v>62.222222222222221</v>
      </c>
      <c r="Q122" s="2">
        <v>0.8367</v>
      </c>
      <c r="R122" s="2">
        <f t="shared" si="11"/>
        <v>76.733999999999995</v>
      </c>
      <c r="S122" s="2">
        <v>1</v>
      </c>
      <c r="T122" s="2">
        <v>2</v>
      </c>
      <c r="U122" s="2">
        <v>7</v>
      </c>
      <c r="V122" s="2">
        <f t="shared" si="12"/>
        <v>2.6457513110645907</v>
      </c>
      <c r="W122" s="2">
        <v>1</v>
      </c>
      <c r="X122" s="2">
        <f t="shared" si="13"/>
        <v>1.4142135623730951</v>
      </c>
      <c r="Y122" s="2">
        <v>7</v>
      </c>
      <c r="Z122" s="2">
        <f t="shared" si="14"/>
        <v>2.6457513110645907</v>
      </c>
      <c r="AA122" s="2">
        <f t="shared" si="15"/>
        <v>2.4494897427831779</v>
      </c>
      <c r="AB122" s="2">
        <v>2.6457999999999999</v>
      </c>
      <c r="AC122" s="2">
        <v>1</v>
      </c>
      <c r="AD122" s="2">
        <v>0</v>
      </c>
      <c r="AE122" s="2">
        <v>0</v>
      </c>
      <c r="AF122" s="2">
        <v>0</v>
      </c>
      <c r="AG122" s="2">
        <v>1</v>
      </c>
    </row>
    <row r="123" spans="1:33" x14ac:dyDescent="0.3">
      <c r="A123" s="2" t="s">
        <v>35</v>
      </c>
      <c r="B123" s="2" t="s">
        <v>387</v>
      </c>
      <c r="C123" s="2" t="s">
        <v>388</v>
      </c>
      <c r="D123" s="2" t="s">
        <v>389</v>
      </c>
      <c r="E123" s="2">
        <v>1979</v>
      </c>
      <c r="F123" s="2">
        <v>40</v>
      </c>
      <c r="G123" s="2">
        <v>1</v>
      </c>
      <c r="H123" s="2">
        <v>22</v>
      </c>
      <c r="I123" s="2">
        <v>11</v>
      </c>
      <c r="J123" s="2">
        <v>22</v>
      </c>
      <c r="K123" s="2">
        <f t="shared" ca="1" si="8"/>
        <v>47</v>
      </c>
      <c r="L123" s="2">
        <v>6</v>
      </c>
      <c r="M123" s="2">
        <v>4</v>
      </c>
      <c r="N123" s="2">
        <v>113</v>
      </c>
      <c r="O123" s="2">
        <f t="shared" ca="1" si="9"/>
        <v>0.1276595744680851</v>
      </c>
      <c r="P123" s="2">
        <f t="shared" ca="1" si="10"/>
        <v>42.569148936170215</v>
      </c>
      <c r="Q123" s="2">
        <v>3.2429999999999999</v>
      </c>
      <c r="R123" s="2">
        <f t="shared" si="11"/>
        <v>50.357499999999995</v>
      </c>
      <c r="S123" s="2">
        <v>6</v>
      </c>
      <c r="T123" s="2">
        <v>10</v>
      </c>
      <c r="U123" s="2">
        <v>14.833299999999999</v>
      </c>
      <c r="V123" s="2">
        <f t="shared" si="12"/>
        <v>9.4339705320718483</v>
      </c>
      <c r="W123" s="2">
        <v>3</v>
      </c>
      <c r="X123" s="2">
        <f t="shared" si="13"/>
        <v>7.745966692414834</v>
      </c>
      <c r="Y123" s="2">
        <v>11.5</v>
      </c>
      <c r="Z123" s="2">
        <f t="shared" si="14"/>
        <v>8.3066238629180749</v>
      </c>
      <c r="AA123" s="2">
        <f t="shared" si="15"/>
        <v>7.2800961532111641</v>
      </c>
      <c r="AB123" s="2">
        <v>15.3948</v>
      </c>
      <c r="AC123" s="2">
        <v>4</v>
      </c>
      <c r="AD123" s="2">
        <v>3</v>
      </c>
      <c r="AE123" s="2">
        <v>2</v>
      </c>
      <c r="AF123" s="2">
        <v>1</v>
      </c>
      <c r="AG123" s="2">
        <v>2</v>
      </c>
    </row>
    <row r="124" spans="1:33" x14ac:dyDescent="0.3">
      <c r="A124" s="2" t="s">
        <v>35</v>
      </c>
      <c r="B124" s="2" t="s">
        <v>1084</v>
      </c>
      <c r="C124" s="2" t="s">
        <v>43</v>
      </c>
      <c r="D124" s="2" t="s">
        <v>1085</v>
      </c>
      <c r="E124" s="2">
        <v>1998</v>
      </c>
      <c r="F124" s="2">
        <v>1</v>
      </c>
      <c r="G124" s="2">
        <v>0</v>
      </c>
      <c r="H124" s="2">
        <v>1</v>
      </c>
      <c r="I124" s="2">
        <v>1</v>
      </c>
      <c r="J124" s="2">
        <v>1</v>
      </c>
      <c r="K124" s="2">
        <f t="shared" ca="1" si="8"/>
        <v>28</v>
      </c>
      <c r="L124" s="2">
        <v>0</v>
      </c>
      <c r="M124" s="2">
        <v>0</v>
      </c>
      <c r="N124" s="2">
        <v>0</v>
      </c>
      <c r="O124" s="2">
        <f t="shared" ca="1" si="9"/>
        <v>0</v>
      </c>
      <c r="P124" s="2">
        <f t="shared" ca="1" si="10"/>
        <v>50</v>
      </c>
      <c r="Q124" s="2">
        <v>0</v>
      </c>
      <c r="R124" s="2">
        <f t="shared" si="11"/>
        <v>50</v>
      </c>
      <c r="S124" s="2">
        <v>0</v>
      </c>
      <c r="T124" s="2">
        <v>0</v>
      </c>
      <c r="U124" s="2">
        <v>0</v>
      </c>
      <c r="V124" s="2">
        <f t="shared" si="12"/>
        <v>0</v>
      </c>
      <c r="W124" s="2">
        <v>0</v>
      </c>
      <c r="X124" s="2">
        <f t="shared" si="13"/>
        <v>0</v>
      </c>
      <c r="Y124" s="2">
        <v>0</v>
      </c>
      <c r="Z124" s="2">
        <f t="shared" si="14"/>
        <v>0</v>
      </c>
      <c r="AA124" s="2">
        <f t="shared" si="15"/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</row>
    <row r="125" spans="1:33" x14ac:dyDescent="0.3">
      <c r="A125" s="2" t="s">
        <v>35</v>
      </c>
      <c r="B125" s="2" t="s">
        <v>391</v>
      </c>
      <c r="C125" s="2" t="s">
        <v>109</v>
      </c>
      <c r="D125" s="2" t="s">
        <v>392</v>
      </c>
      <c r="E125" s="2">
        <v>2015</v>
      </c>
      <c r="F125" s="2">
        <v>40</v>
      </c>
      <c r="G125" s="2">
        <v>0</v>
      </c>
      <c r="H125" s="2">
        <v>5</v>
      </c>
      <c r="I125" s="2">
        <v>3</v>
      </c>
      <c r="J125" s="2">
        <v>6</v>
      </c>
      <c r="K125" s="2">
        <f t="shared" ca="1" si="8"/>
        <v>11</v>
      </c>
      <c r="L125" s="2">
        <v>9</v>
      </c>
      <c r="M125" s="2">
        <v>9</v>
      </c>
      <c r="N125" s="2">
        <v>361</v>
      </c>
      <c r="O125" s="2">
        <f t="shared" ca="1" si="9"/>
        <v>0.81818181818181823</v>
      </c>
      <c r="P125" s="2">
        <f t="shared" ca="1" si="10"/>
        <v>32.045454545454547</v>
      </c>
      <c r="Q125" s="2">
        <v>7.1749000000000001</v>
      </c>
      <c r="R125" s="2">
        <f t="shared" si="11"/>
        <v>47.937250000000006</v>
      </c>
      <c r="S125" s="2">
        <v>9</v>
      </c>
      <c r="T125" s="2">
        <v>18</v>
      </c>
      <c r="U125" s="2">
        <v>33.555599999999998</v>
      </c>
      <c r="V125" s="2">
        <f t="shared" si="12"/>
        <v>17.37815870568571</v>
      </c>
      <c r="W125" s="2">
        <v>4</v>
      </c>
      <c r="X125" s="2">
        <f t="shared" si="13"/>
        <v>12.727922061357855</v>
      </c>
      <c r="Y125" s="2">
        <v>16</v>
      </c>
      <c r="Z125" s="2">
        <f t="shared" si="14"/>
        <v>12</v>
      </c>
      <c r="AA125" s="2">
        <f t="shared" si="15"/>
        <v>14.866082200768298</v>
      </c>
      <c r="AB125" s="2">
        <v>30.463100000000001</v>
      </c>
      <c r="AC125" s="2">
        <v>6</v>
      </c>
      <c r="AD125" s="2">
        <v>2</v>
      </c>
      <c r="AE125" s="2">
        <v>6</v>
      </c>
      <c r="AF125" s="2">
        <v>4</v>
      </c>
      <c r="AG125" s="2">
        <v>2</v>
      </c>
    </row>
    <row r="126" spans="1:33" x14ac:dyDescent="0.3">
      <c r="A126" s="2" t="s">
        <v>35</v>
      </c>
      <c r="B126" s="2" t="s">
        <v>394</v>
      </c>
      <c r="C126" s="2" t="s">
        <v>187</v>
      </c>
      <c r="D126" s="2" t="s">
        <v>395</v>
      </c>
      <c r="E126" s="2">
        <v>1997</v>
      </c>
      <c r="F126" s="2">
        <v>60</v>
      </c>
      <c r="G126" s="2">
        <v>14</v>
      </c>
      <c r="H126" s="2">
        <v>12</v>
      </c>
      <c r="I126" s="2">
        <v>12</v>
      </c>
      <c r="J126" s="2">
        <v>19</v>
      </c>
      <c r="K126" s="2">
        <f t="shared" ca="1" si="8"/>
        <v>29</v>
      </c>
      <c r="L126" s="2">
        <v>22</v>
      </c>
      <c r="M126" s="2">
        <v>33</v>
      </c>
      <c r="N126" s="2">
        <v>1765</v>
      </c>
      <c r="O126" s="2">
        <f t="shared" ca="1" si="9"/>
        <v>0.75862068965517238</v>
      </c>
      <c r="P126" s="2">
        <f t="shared" ca="1" si="10"/>
        <v>51.431034482758619</v>
      </c>
      <c r="Q126" s="2">
        <v>10.389699999999999</v>
      </c>
      <c r="R126" s="2">
        <f t="shared" si="11"/>
        <v>67.482833333333332</v>
      </c>
      <c r="S126" s="2">
        <v>22</v>
      </c>
      <c r="T126" s="2">
        <v>41</v>
      </c>
      <c r="U126" s="2">
        <v>70.2273</v>
      </c>
      <c r="V126" s="2">
        <f t="shared" si="12"/>
        <v>39.306495646394119</v>
      </c>
      <c r="W126" s="2">
        <v>8</v>
      </c>
      <c r="X126" s="2">
        <f t="shared" si="13"/>
        <v>30.033314835362415</v>
      </c>
      <c r="Y126" s="2">
        <v>53.5</v>
      </c>
      <c r="Z126" s="2">
        <f t="shared" si="14"/>
        <v>34.307433596816885</v>
      </c>
      <c r="AA126" s="2">
        <f t="shared" si="15"/>
        <v>32.573004159886757</v>
      </c>
      <c r="AB126" s="2">
        <v>112.02679999999999</v>
      </c>
      <c r="AC126" s="2">
        <v>14</v>
      </c>
      <c r="AD126" s="2">
        <v>4</v>
      </c>
      <c r="AE126" s="2">
        <v>0</v>
      </c>
      <c r="AF126" s="2">
        <v>17</v>
      </c>
      <c r="AG126" s="2">
        <v>9</v>
      </c>
    </row>
    <row r="127" spans="1:33" x14ac:dyDescent="0.3">
      <c r="A127" s="2" t="s">
        <v>35</v>
      </c>
      <c r="B127" s="2" t="s">
        <v>1086</v>
      </c>
      <c r="C127" s="2" t="s">
        <v>51</v>
      </c>
      <c r="D127" s="2" t="s">
        <v>1087</v>
      </c>
      <c r="E127" s="2">
        <v>2023</v>
      </c>
      <c r="F127" s="2">
        <v>1</v>
      </c>
      <c r="G127" s="2">
        <v>0</v>
      </c>
      <c r="H127" s="2">
        <v>1</v>
      </c>
      <c r="I127" s="2">
        <v>0</v>
      </c>
      <c r="J127" s="2">
        <v>1</v>
      </c>
      <c r="K127" s="2">
        <f t="shared" ca="1" si="8"/>
        <v>3</v>
      </c>
      <c r="L127" s="2">
        <v>0</v>
      </c>
      <c r="M127" s="2">
        <v>0</v>
      </c>
      <c r="N127" s="2">
        <v>0</v>
      </c>
      <c r="O127" s="2">
        <f t="shared" ca="1" si="9"/>
        <v>0</v>
      </c>
      <c r="P127" s="2">
        <f t="shared" ca="1" si="10"/>
        <v>50</v>
      </c>
      <c r="Q127" s="2">
        <v>0</v>
      </c>
      <c r="R127" s="2">
        <f t="shared" si="11"/>
        <v>50</v>
      </c>
      <c r="S127" s="2">
        <v>0</v>
      </c>
      <c r="T127" s="2">
        <v>0</v>
      </c>
      <c r="U127" s="2">
        <v>0</v>
      </c>
      <c r="V127" s="2">
        <f t="shared" si="12"/>
        <v>0</v>
      </c>
      <c r="W127" s="2">
        <v>0</v>
      </c>
      <c r="X127" s="2">
        <f t="shared" si="13"/>
        <v>0</v>
      </c>
      <c r="Y127" s="2">
        <v>0</v>
      </c>
      <c r="Z127" s="2">
        <f t="shared" si="14"/>
        <v>0</v>
      </c>
      <c r="AA127" s="2">
        <f t="shared" si="15"/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 x14ac:dyDescent="0.3">
      <c r="A128" s="2" t="s">
        <v>35</v>
      </c>
      <c r="B128" s="2" t="s">
        <v>397</v>
      </c>
      <c r="C128" s="2" t="s">
        <v>43</v>
      </c>
      <c r="D128" s="2" t="s">
        <v>398</v>
      </c>
      <c r="E128" s="2">
        <v>2002</v>
      </c>
      <c r="F128" s="2">
        <v>40</v>
      </c>
      <c r="G128" s="2">
        <v>2</v>
      </c>
      <c r="H128" s="2">
        <v>27</v>
      </c>
      <c r="I128" s="2">
        <v>27</v>
      </c>
      <c r="J128" s="2">
        <v>27</v>
      </c>
      <c r="K128" s="2">
        <f t="shared" ca="1" si="8"/>
        <v>24</v>
      </c>
      <c r="L128" s="2">
        <v>6</v>
      </c>
      <c r="M128" s="2">
        <v>5</v>
      </c>
      <c r="N128" s="2">
        <v>115</v>
      </c>
      <c r="O128" s="2">
        <f t="shared" ca="1" si="9"/>
        <v>0.25</v>
      </c>
      <c r="P128" s="2">
        <f t="shared" ca="1" si="10"/>
        <v>48.875</v>
      </c>
      <c r="Q128" s="2">
        <v>2.7968000000000002</v>
      </c>
      <c r="R128" s="2">
        <f t="shared" si="11"/>
        <v>55.242000000000004</v>
      </c>
      <c r="S128" s="2">
        <v>6</v>
      </c>
      <c r="T128" s="2">
        <v>10</v>
      </c>
      <c r="U128" s="2">
        <v>14.666700000000001</v>
      </c>
      <c r="V128" s="2">
        <f t="shared" si="12"/>
        <v>9.3808421796766197</v>
      </c>
      <c r="W128" s="2">
        <v>3</v>
      </c>
      <c r="X128" s="2">
        <f t="shared" si="13"/>
        <v>7.745966692414834</v>
      </c>
      <c r="Y128" s="2">
        <v>11.5</v>
      </c>
      <c r="Z128" s="2">
        <f t="shared" si="14"/>
        <v>8.3066238629180749</v>
      </c>
      <c r="AA128" s="2">
        <f t="shared" si="15"/>
        <v>7.2111164184195502</v>
      </c>
      <c r="AB128" s="2">
        <v>15.329700000000001</v>
      </c>
      <c r="AC128" s="2">
        <v>6</v>
      </c>
      <c r="AD128" s="2">
        <v>0</v>
      </c>
      <c r="AE128" s="2">
        <v>3</v>
      </c>
      <c r="AF128" s="2">
        <v>1</v>
      </c>
      <c r="AG128" s="2">
        <v>5</v>
      </c>
    </row>
    <row r="129" spans="1:33" x14ac:dyDescent="0.3">
      <c r="A129" s="2" t="s">
        <v>35</v>
      </c>
      <c r="B129" s="2" t="s">
        <v>400</v>
      </c>
      <c r="C129" s="2" t="s">
        <v>43</v>
      </c>
      <c r="D129" s="2" t="s">
        <v>401</v>
      </c>
      <c r="E129" s="2">
        <v>2011</v>
      </c>
      <c r="F129" s="2">
        <v>26</v>
      </c>
      <c r="G129" s="2">
        <v>3</v>
      </c>
      <c r="H129" s="2">
        <v>23</v>
      </c>
      <c r="I129" s="2">
        <v>21</v>
      </c>
      <c r="J129" s="2">
        <v>23</v>
      </c>
      <c r="K129" s="2">
        <f t="shared" ca="1" si="8"/>
        <v>15</v>
      </c>
      <c r="L129" s="2">
        <v>4</v>
      </c>
      <c r="M129" s="2">
        <v>1</v>
      </c>
      <c r="N129" s="2">
        <v>52</v>
      </c>
      <c r="O129" s="2">
        <f t="shared" ca="1" si="9"/>
        <v>0.26666666666666666</v>
      </c>
      <c r="P129" s="2">
        <f t="shared" ca="1" si="10"/>
        <v>59.487179487179489</v>
      </c>
      <c r="Q129" s="2">
        <v>2.4083000000000001</v>
      </c>
      <c r="R129" s="2">
        <f t="shared" si="11"/>
        <v>67.724230769230772</v>
      </c>
      <c r="S129" s="2">
        <v>4</v>
      </c>
      <c r="T129" s="2">
        <v>6</v>
      </c>
      <c r="U129" s="2">
        <v>9.75</v>
      </c>
      <c r="V129" s="2">
        <f t="shared" si="12"/>
        <v>6.2449979983983983</v>
      </c>
      <c r="W129" s="2">
        <v>2</v>
      </c>
      <c r="X129" s="2">
        <f t="shared" si="13"/>
        <v>4.8989794855663558</v>
      </c>
      <c r="Y129" s="2">
        <v>6.5</v>
      </c>
      <c r="Z129" s="2">
        <f t="shared" si="14"/>
        <v>5.0990195135927845</v>
      </c>
      <c r="AA129" s="2">
        <f t="shared" si="15"/>
        <v>4.7958315233127191</v>
      </c>
      <c r="AB129" s="2">
        <v>8.3065999999999995</v>
      </c>
      <c r="AC129" s="2">
        <v>3</v>
      </c>
      <c r="AD129" s="2">
        <v>1</v>
      </c>
      <c r="AE129" s="2">
        <v>0</v>
      </c>
      <c r="AF129" s="2">
        <v>2</v>
      </c>
      <c r="AG129" s="2">
        <v>3</v>
      </c>
    </row>
    <row r="130" spans="1:33" x14ac:dyDescent="0.3">
      <c r="A130" s="2" t="s">
        <v>35</v>
      </c>
      <c r="B130" s="2" t="s">
        <v>403</v>
      </c>
      <c r="C130" s="2" t="s">
        <v>318</v>
      </c>
      <c r="D130" s="2" t="s">
        <v>404</v>
      </c>
      <c r="E130" s="2">
        <v>2016</v>
      </c>
      <c r="F130" s="2">
        <v>21</v>
      </c>
      <c r="G130" s="2">
        <v>17</v>
      </c>
      <c r="H130" s="2">
        <v>7</v>
      </c>
      <c r="I130" s="2">
        <v>1</v>
      </c>
      <c r="J130" s="2">
        <v>7</v>
      </c>
      <c r="K130" s="2">
        <f t="shared" ref="K130:K193" ca="1" si="16">IF((YEAR(TODAY())-E130)&lt;=0,1,YEAR(TODAY())-E130)</f>
        <v>10</v>
      </c>
      <c r="L130" s="2">
        <v>6</v>
      </c>
      <c r="M130" s="2">
        <v>6</v>
      </c>
      <c r="N130" s="2">
        <v>161</v>
      </c>
      <c r="O130" s="2">
        <f t="shared" ref="O130:O193" ca="1" si="17">IFERROR(L130/K130,0)</f>
        <v>0.6</v>
      </c>
      <c r="P130" s="2">
        <f t="shared" ref="P130:P193" ca="1" si="18">IFERROR((100/F130)*(L130-0.1*G130+0.5*J130+O130),0)</f>
        <v>40</v>
      </c>
      <c r="Q130" s="2">
        <v>3.9253999999999998</v>
      </c>
      <c r="R130" s="2">
        <f t="shared" ref="R130:R193" si="19">IFERROR((100/F130)*(L130-0.1*G130+0.5*J130+Q130),0)</f>
        <v>55.835238095238097</v>
      </c>
      <c r="S130" s="2">
        <v>6</v>
      </c>
      <c r="T130" s="2">
        <v>12</v>
      </c>
      <c r="U130" s="2">
        <v>21</v>
      </c>
      <c r="V130" s="2">
        <f t="shared" ref="V130:V193" si="20">IFERROR(SQRT(U130*S130),0)</f>
        <v>11.224972160321824</v>
      </c>
      <c r="W130" s="2">
        <v>4</v>
      </c>
      <c r="X130" s="2">
        <f t="shared" ref="X130:X193" si="21">IFERROR(SQRT(S130*T130),0)</f>
        <v>8.4852813742385695</v>
      </c>
      <c r="Y130" s="2">
        <v>18.5</v>
      </c>
      <c r="Z130" s="2">
        <f t="shared" ref="Z130:Z193" si="22">IFERROR(SQRT(S130*Y130),0)</f>
        <v>10.535653752852738</v>
      </c>
      <c r="AA130" s="2">
        <f t="shared" ref="AA130:AA193" si="23">IFERROR(SQRT(MAX(U130*S130-S130^2,0)),0)</f>
        <v>9.4868329805051381</v>
      </c>
      <c r="AB130" s="2">
        <v>18.867999999999999</v>
      </c>
      <c r="AC130" s="2">
        <v>4</v>
      </c>
      <c r="AD130" s="2">
        <v>4</v>
      </c>
      <c r="AE130" s="2">
        <v>1</v>
      </c>
      <c r="AF130" s="2">
        <v>5</v>
      </c>
      <c r="AG130" s="2">
        <v>0</v>
      </c>
    </row>
    <row r="131" spans="1:33" x14ac:dyDescent="0.3">
      <c r="A131" s="2" t="s">
        <v>35</v>
      </c>
      <c r="B131" s="2" t="s">
        <v>1088</v>
      </c>
      <c r="C131" s="2" t="s">
        <v>38</v>
      </c>
      <c r="D131" s="2" t="s">
        <v>1089</v>
      </c>
      <c r="E131" s="2">
        <v>2024</v>
      </c>
      <c r="F131" s="2">
        <v>1</v>
      </c>
      <c r="G131" s="2">
        <v>0</v>
      </c>
      <c r="H131" s="2">
        <v>1</v>
      </c>
      <c r="I131" s="2">
        <v>1</v>
      </c>
      <c r="J131" s="2">
        <v>1</v>
      </c>
      <c r="K131" s="2">
        <f t="shared" ca="1" si="16"/>
        <v>2</v>
      </c>
      <c r="L131" s="2">
        <v>0</v>
      </c>
      <c r="M131" s="2">
        <v>0</v>
      </c>
      <c r="N131" s="2">
        <v>0</v>
      </c>
      <c r="O131" s="2">
        <f t="shared" ca="1" si="17"/>
        <v>0</v>
      </c>
      <c r="P131" s="2">
        <f t="shared" ca="1" si="18"/>
        <v>50</v>
      </c>
      <c r="Q131" s="2">
        <v>0</v>
      </c>
      <c r="R131" s="2">
        <f t="shared" si="19"/>
        <v>50</v>
      </c>
      <c r="S131" s="2">
        <v>0</v>
      </c>
      <c r="T131" s="2">
        <v>0</v>
      </c>
      <c r="U131" s="2">
        <v>0</v>
      </c>
      <c r="V131" s="2">
        <f t="shared" si="20"/>
        <v>0</v>
      </c>
      <c r="W131" s="2">
        <v>0</v>
      </c>
      <c r="X131" s="2">
        <f t="shared" si="21"/>
        <v>0</v>
      </c>
      <c r="Y131" s="2">
        <v>0</v>
      </c>
      <c r="Z131" s="2">
        <f t="shared" si="22"/>
        <v>0</v>
      </c>
      <c r="AA131" s="2">
        <f t="shared" si="23"/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 x14ac:dyDescent="0.3">
      <c r="A132" s="2" t="s">
        <v>35</v>
      </c>
      <c r="B132" s="2" t="s">
        <v>406</v>
      </c>
      <c r="C132" s="2" t="s">
        <v>109</v>
      </c>
      <c r="D132" s="2" t="s">
        <v>407</v>
      </c>
      <c r="E132" s="2">
        <v>1960</v>
      </c>
      <c r="F132" s="2">
        <v>370</v>
      </c>
      <c r="G132" s="2">
        <v>71</v>
      </c>
      <c r="H132" s="2">
        <v>67</v>
      </c>
      <c r="I132" s="2">
        <v>42</v>
      </c>
      <c r="J132" s="2">
        <v>98</v>
      </c>
      <c r="K132" s="2">
        <f t="shared" ca="1" si="16"/>
        <v>66</v>
      </c>
      <c r="L132" s="2">
        <v>32</v>
      </c>
      <c r="M132" s="2">
        <v>99</v>
      </c>
      <c r="N132" s="2">
        <v>4613</v>
      </c>
      <c r="O132" s="2">
        <f t="shared" ca="1" si="17"/>
        <v>0.48484848484848486</v>
      </c>
      <c r="P132" s="2">
        <f t="shared" ca="1" si="18"/>
        <v>20.104013104013106</v>
      </c>
      <c r="Q132" s="2">
        <v>21.940999999999999</v>
      </c>
      <c r="R132" s="2">
        <f t="shared" si="19"/>
        <v>25.902972972972975</v>
      </c>
      <c r="S132" s="2">
        <v>32</v>
      </c>
      <c r="T132" s="2">
        <v>58</v>
      </c>
      <c r="U132" s="2">
        <v>86.593800000000002</v>
      </c>
      <c r="V132" s="2">
        <f t="shared" si="20"/>
        <v>52.640303950490257</v>
      </c>
      <c r="W132" s="2">
        <v>9</v>
      </c>
      <c r="X132" s="2">
        <f t="shared" si="21"/>
        <v>43.08131845707603</v>
      </c>
      <c r="Y132" s="2">
        <v>54</v>
      </c>
      <c r="Z132" s="2">
        <f t="shared" si="22"/>
        <v>41.569219381653056</v>
      </c>
      <c r="AA132" s="2">
        <f t="shared" si="23"/>
        <v>41.79714822807891</v>
      </c>
      <c r="AB132" s="2">
        <v>163.0429</v>
      </c>
      <c r="AC132" s="2">
        <v>22</v>
      </c>
      <c r="AD132" s="2">
        <v>9</v>
      </c>
      <c r="AE132" s="2">
        <v>26</v>
      </c>
      <c r="AF132" s="2">
        <v>17</v>
      </c>
      <c r="AG132" s="2">
        <v>13</v>
      </c>
    </row>
    <row r="133" spans="1:33" x14ac:dyDescent="0.3">
      <c r="A133" s="2" t="s">
        <v>35</v>
      </c>
      <c r="B133" s="2" t="s">
        <v>409</v>
      </c>
      <c r="C133" s="2" t="s">
        <v>51</v>
      </c>
      <c r="D133" s="2" t="s">
        <v>410</v>
      </c>
      <c r="E133" s="2">
        <v>2002</v>
      </c>
      <c r="F133" s="2">
        <v>69</v>
      </c>
      <c r="G133" s="2">
        <v>40</v>
      </c>
      <c r="H133" s="2">
        <v>10</v>
      </c>
      <c r="I133" s="2">
        <v>39</v>
      </c>
      <c r="J133" s="2">
        <v>48</v>
      </c>
      <c r="K133" s="2">
        <f t="shared" ca="1" si="16"/>
        <v>24</v>
      </c>
      <c r="L133" s="2">
        <v>29</v>
      </c>
      <c r="M133" s="2">
        <v>45</v>
      </c>
      <c r="N133" s="2">
        <v>2535</v>
      </c>
      <c r="O133" s="2">
        <f t="shared" ca="1" si="17"/>
        <v>1.2083333333333333</v>
      </c>
      <c r="P133" s="2">
        <f t="shared" ca="1" si="18"/>
        <v>72.765700483091791</v>
      </c>
      <c r="Q133" s="2">
        <v>13.4255</v>
      </c>
      <c r="R133" s="2">
        <f t="shared" si="19"/>
        <v>90.471739130434784</v>
      </c>
      <c r="S133" s="2">
        <v>29</v>
      </c>
      <c r="T133" s="2">
        <v>50</v>
      </c>
      <c r="U133" s="2">
        <v>75.793099999999995</v>
      </c>
      <c r="V133" s="2">
        <f t="shared" si="20"/>
        <v>46.882831612435695</v>
      </c>
      <c r="W133" s="2">
        <v>9</v>
      </c>
      <c r="X133" s="2">
        <f t="shared" si="21"/>
        <v>38.078865529319543</v>
      </c>
      <c r="Y133" s="2">
        <v>51</v>
      </c>
      <c r="Z133" s="2">
        <f t="shared" si="22"/>
        <v>38.457769046058822</v>
      </c>
      <c r="AA133" s="2">
        <f t="shared" si="23"/>
        <v>36.837479555474474</v>
      </c>
      <c r="AB133" s="2">
        <v>149.06710000000001</v>
      </c>
      <c r="AC133" s="2">
        <v>23</v>
      </c>
      <c r="AD133" s="2">
        <v>9</v>
      </c>
      <c r="AE133" s="2">
        <v>2</v>
      </c>
      <c r="AF133" s="2">
        <v>10</v>
      </c>
      <c r="AG133" s="2">
        <v>19</v>
      </c>
    </row>
    <row r="134" spans="1:33" x14ac:dyDescent="0.3">
      <c r="A134" s="2" t="s">
        <v>35</v>
      </c>
      <c r="B134" s="2" t="s">
        <v>412</v>
      </c>
      <c r="C134" s="2" t="s">
        <v>74</v>
      </c>
      <c r="D134" s="2" t="s">
        <v>413</v>
      </c>
      <c r="E134" s="2">
        <v>2008</v>
      </c>
      <c r="F134" s="2">
        <v>155</v>
      </c>
      <c r="G134" s="2">
        <v>65</v>
      </c>
      <c r="H134" s="2">
        <v>25</v>
      </c>
      <c r="I134" s="2">
        <v>52</v>
      </c>
      <c r="J134" s="2">
        <v>70</v>
      </c>
      <c r="K134" s="2">
        <f t="shared" ca="1" si="16"/>
        <v>18</v>
      </c>
      <c r="L134" s="2">
        <v>29</v>
      </c>
      <c r="M134" s="2">
        <v>73</v>
      </c>
      <c r="N134" s="2">
        <v>2707</v>
      </c>
      <c r="O134" s="2">
        <f t="shared" ca="1" si="17"/>
        <v>1.6111111111111112</v>
      </c>
      <c r="P134" s="2">
        <f t="shared" ca="1" si="18"/>
        <v>38.136200716845877</v>
      </c>
      <c r="Q134" s="2">
        <v>15.9748</v>
      </c>
      <c r="R134" s="2">
        <f t="shared" si="19"/>
        <v>47.40309677419355</v>
      </c>
      <c r="S134" s="2">
        <v>29</v>
      </c>
      <c r="T134" s="2">
        <v>46</v>
      </c>
      <c r="U134" s="2">
        <v>59.827599999999997</v>
      </c>
      <c r="V134" s="2">
        <f t="shared" si="20"/>
        <v>41.653336000853521</v>
      </c>
      <c r="W134" s="2">
        <v>8</v>
      </c>
      <c r="X134" s="2">
        <f t="shared" si="21"/>
        <v>36.523964735499348</v>
      </c>
      <c r="Y134" s="2">
        <v>47</v>
      </c>
      <c r="Z134" s="2">
        <f t="shared" si="22"/>
        <v>36.918829883949464</v>
      </c>
      <c r="AA134" s="2">
        <f t="shared" si="23"/>
        <v>29.899839464451976</v>
      </c>
      <c r="AB134" s="2">
        <v>140.05359999999999</v>
      </c>
      <c r="AC134" s="2">
        <v>23</v>
      </c>
      <c r="AD134" s="2">
        <v>9</v>
      </c>
      <c r="AE134" s="2">
        <v>8</v>
      </c>
      <c r="AF134" s="2">
        <v>16</v>
      </c>
      <c r="AG134" s="2">
        <v>21</v>
      </c>
    </row>
    <row r="135" spans="1:33" x14ac:dyDescent="0.3">
      <c r="A135" s="2" t="s">
        <v>35</v>
      </c>
      <c r="B135" s="2" t="s">
        <v>415</v>
      </c>
      <c r="C135" s="2" t="s">
        <v>51</v>
      </c>
      <c r="D135" s="2" t="s">
        <v>416</v>
      </c>
      <c r="E135" s="2">
        <v>2013</v>
      </c>
      <c r="F135" s="2">
        <v>6</v>
      </c>
      <c r="G135" s="2">
        <v>3</v>
      </c>
      <c r="H135" s="2">
        <v>3</v>
      </c>
      <c r="I135" s="2">
        <v>2</v>
      </c>
      <c r="J135" s="2">
        <v>3</v>
      </c>
      <c r="K135" s="2">
        <f t="shared" ca="1" si="16"/>
        <v>13</v>
      </c>
      <c r="L135" s="2">
        <v>4</v>
      </c>
      <c r="M135" s="2">
        <v>4</v>
      </c>
      <c r="N135" s="2">
        <v>134</v>
      </c>
      <c r="O135" s="2">
        <f t="shared" ca="1" si="17"/>
        <v>0.30769230769230771</v>
      </c>
      <c r="P135" s="2">
        <f t="shared" ca="1" si="18"/>
        <v>91.794871794871796</v>
      </c>
      <c r="Q135" s="2">
        <v>4.3319000000000001</v>
      </c>
      <c r="R135" s="2">
        <f t="shared" si="19"/>
        <v>158.86500000000001</v>
      </c>
      <c r="S135" s="2">
        <v>4</v>
      </c>
      <c r="T135" s="2">
        <v>6</v>
      </c>
      <c r="U135" s="2">
        <v>32.5</v>
      </c>
      <c r="V135" s="2">
        <f t="shared" si="20"/>
        <v>11.401754250991379</v>
      </c>
      <c r="W135" s="2">
        <v>4</v>
      </c>
      <c r="X135" s="2">
        <f t="shared" si="21"/>
        <v>4.8989794855663558</v>
      </c>
      <c r="Y135" s="2">
        <v>30.5</v>
      </c>
      <c r="Z135" s="2">
        <f t="shared" si="22"/>
        <v>11.045361017187261</v>
      </c>
      <c r="AA135" s="2">
        <f t="shared" si="23"/>
        <v>10.677078252031311</v>
      </c>
      <c r="AB135" s="2">
        <v>17.029399999999999</v>
      </c>
      <c r="AC135" s="2">
        <v>3</v>
      </c>
      <c r="AD135" s="2">
        <v>1</v>
      </c>
      <c r="AE135" s="2">
        <v>0</v>
      </c>
      <c r="AF135" s="2">
        <v>3</v>
      </c>
      <c r="AG135" s="2">
        <v>2</v>
      </c>
    </row>
    <row r="136" spans="1:33" x14ac:dyDescent="0.3">
      <c r="A136" s="2" t="s">
        <v>35</v>
      </c>
      <c r="B136" s="2" t="s">
        <v>418</v>
      </c>
      <c r="C136" s="2" t="s">
        <v>55</v>
      </c>
      <c r="D136" s="2" t="s">
        <v>419</v>
      </c>
      <c r="E136" s="2">
        <v>2000</v>
      </c>
      <c r="F136" s="2">
        <v>39</v>
      </c>
      <c r="G136" s="2">
        <v>1</v>
      </c>
      <c r="H136" s="2">
        <v>29</v>
      </c>
      <c r="I136" s="2">
        <v>26</v>
      </c>
      <c r="J136" s="2">
        <v>29</v>
      </c>
      <c r="K136" s="2">
        <f t="shared" ca="1" si="16"/>
        <v>26</v>
      </c>
      <c r="L136" s="2">
        <v>6</v>
      </c>
      <c r="M136" s="2">
        <v>4</v>
      </c>
      <c r="N136" s="2">
        <v>146</v>
      </c>
      <c r="O136" s="2">
        <f t="shared" ca="1" si="17"/>
        <v>0.23076923076923078</v>
      </c>
      <c r="P136" s="2">
        <f t="shared" ca="1" si="18"/>
        <v>52.899408284023664</v>
      </c>
      <c r="Q136" s="2">
        <v>2.7581000000000002</v>
      </c>
      <c r="R136" s="2">
        <f t="shared" si="19"/>
        <v>59.37974358974359</v>
      </c>
      <c r="S136" s="2">
        <v>6</v>
      </c>
      <c r="T136" s="2">
        <v>11</v>
      </c>
      <c r="U136" s="2">
        <v>22.166699999999999</v>
      </c>
      <c r="V136" s="2">
        <f t="shared" si="20"/>
        <v>11.532571265767231</v>
      </c>
      <c r="W136" s="2">
        <v>3</v>
      </c>
      <c r="X136" s="2">
        <f t="shared" si="21"/>
        <v>8.1240384046359608</v>
      </c>
      <c r="Y136" s="2">
        <v>10.5</v>
      </c>
      <c r="Z136" s="2">
        <f t="shared" si="22"/>
        <v>7.9372539331937721</v>
      </c>
      <c r="AA136" s="2">
        <f t="shared" si="23"/>
        <v>9.8488679552525227</v>
      </c>
      <c r="AB136" s="2">
        <v>17.262699999999999</v>
      </c>
      <c r="AC136" s="2">
        <v>6</v>
      </c>
      <c r="AD136" s="2">
        <v>2</v>
      </c>
      <c r="AE136" s="2">
        <v>2</v>
      </c>
      <c r="AF136" s="2">
        <v>1</v>
      </c>
      <c r="AG136" s="2">
        <v>3</v>
      </c>
    </row>
    <row r="137" spans="1:33" x14ac:dyDescent="0.3">
      <c r="A137" s="2" t="s">
        <v>35</v>
      </c>
      <c r="B137" s="2" t="s">
        <v>421</v>
      </c>
      <c r="C137" s="2" t="s">
        <v>99</v>
      </c>
      <c r="D137" s="2" t="s">
        <v>422</v>
      </c>
      <c r="E137" s="2">
        <v>1976</v>
      </c>
      <c r="F137" s="2">
        <v>101</v>
      </c>
      <c r="G137" s="2">
        <v>40</v>
      </c>
      <c r="H137" s="2">
        <v>1</v>
      </c>
      <c r="I137" s="2">
        <v>51</v>
      </c>
      <c r="J137" s="2">
        <v>51</v>
      </c>
      <c r="K137" s="2">
        <f t="shared" ca="1" si="16"/>
        <v>50</v>
      </c>
      <c r="L137" s="2">
        <v>25</v>
      </c>
      <c r="M137" s="2">
        <v>52</v>
      </c>
      <c r="N137" s="2">
        <v>1972</v>
      </c>
      <c r="O137" s="2">
        <f t="shared" ca="1" si="17"/>
        <v>0.5</v>
      </c>
      <c r="P137" s="2">
        <f t="shared" ca="1" si="18"/>
        <v>46.534653465346537</v>
      </c>
      <c r="Q137" s="2">
        <v>12.6493</v>
      </c>
      <c r="R137" s="2">
        <f t="shared" si="19"/>
        <v>58.563663366336627</v>
      </c>
      <c r="S137" s="2">
        <v>25</v>
      </c>
      <c r="T137" s="2">
        <v>40</v>
      </c>
      <c r="U137" s="2">
        <v>53.56</v>
      </c>
      <c r="V137" s="2">
        <f t="shared" si="20"/>
        <v>36.592348927063973</v>
      </c>
      <c r="W137" s="2">
        <v>7</v>
      </c>
      <c r="X137" s="2">
        <f t="shared" si="21"/>
        <v>31.622776601683793</v>
      </c>
      <c r="Y137" s="2">
        <v>53</v>
      </c>
      <c r="Z137" s="2">
        <f t="shared" si="22"/>
        <v>36.400549446402593</v>
      </c>
      <c r="AA137" s="2">
        <f t="shared" si="23"/>
        <v>26.720778431774775</v>
      </c>
      <c r="AB137" s="2">
        <v>115.54649999999999</v>
      </c>
      <c r="AC137" s="2">
        <v>22</v>
      </c>
      <c r="AD137" s="2">
        <v>0</v>
      </c>
      <c r="AE137" s="2">
        <v>6</v>
      </c>
      <c r="AF137" s="2">
        <v>13</v>
      </c>
      <c r="AG137" s="2">
        <v>21</v>
      </c>
    </row>
    <row r="138" spans="1:33" x14ac:dyDescent="0.3">
      <c r="A138" s="2" t="s">
        <v>35</v>
      </c>
      <c r="B138" s="2" t="s">
        <v>424</v>
      </c>
      <c r="C138" s="2" t="s">
        <v>91</v>
      </c>
      <c r="D138" s="2" t="s">
        <v>425</v>
      </c>
      <c r="E138" s="2">
        <v>2011</v>
      </c>
      <c r="F138" s="2">
        <v>79</v>
      </c>
      <c r="G138" s="2">
        <v>12</v>
      </c>
      <c r="H138" s="2">
        <v>37</v>
      </c>
      <c r="I138" s="2">
        <v>26</v>
      </c>
      <c r="J138" s="2">
        <v>48</v>
      </c>
      <c r="K138" s="2">
        <f t="shared" ca="1" si="16"/>
        <v>15</v>
      </c>
      <c r="L138" s="2">
        <v>14</v>
      </c>
      <c r="M138" s="2">
        <v>26</v>
      </c>
      <c r="N138" s="2">
        <v>766</v>
      </c>
      <c r="O138" s="2">
        <f t="shared" ca="1" si="17"/>
        <v>0.93333333333333335</v>
      </c>
      <c r="P138" s="2">
        <f t="shared" ca="1" si="18"/>
        <v>47.76371308016877</v>
      </c>
      <c r="Q138" s="2">
        <v>8.1080000000000005</v>
      </c>
      <c r="R138" s="2">
        <f t="shared" si="19"/>
        <v>56.845569620253173</v>
      </c>
      <c r="S138" s="2">
        <v>14</v>
      </c>
      <c r="T138" s="2">
        <v>24</v>
      </c>
      <c r="U138" s="2">
        <v>33.357100000000003</v>
      </c>
      <c r="V138" s="2">
        <f t="shared" si="20"/>
        <v>21.61016890262545</v>
      </c>
      <c r="W138" s="2">
        <v>5</v>
      </c>
      <c r="X138" s="2">
        <f t="shared" si="21"/>
        <v>18.330302779823359</v>
      </c>
      <c r="Y138" s="2">
        <v>24</v>
      </c>
      <c r="Z138" s="2">
        <f t="shared" si="22"/>
        <v>18.330302779823359</v>
      </c>
      <c r="AA138" s="2">
        <f t="shared" si="23"/>
        <v>16.462059409442066</v>
      </c>
      <c r="AB138" s="2">
        <v>50.07</v>
      </c>
      <c r="AC138" s="2">
        <v>13</v>
      </c>
      <c r="AD138" s="2">
        <v>9</v>
      </c>
      <c r="AE138" s="2">
        <v>4</v>
      </c>
      <c r="AF138" s="2">
        <v>7</v>
      </c>
      <c r="AG138" s="2">
        <v>10</v>
      </c>
    </row>
    <row r="139" spans="1:33" x14ac:dyDescent="0.3">
      <c r="A139" s="2" t="s">
        <v>35</v>
      </c>
      <c r="B139" s="2" t="s">
        <v>427</v>
      </c>
      <c r="C139" s="2" t="s">
        <v>91</v>
      </c>
      <c r="D139" s="2" t="s">
        <v>428</v>
      </c>
      <c r="E139" s="2">
        <v>2014</v>
      </c>
      <c r="F139" s="2">
        <v>13</v>
      </c>
      <c r="G139" s="2">
        <v>3</v>
      </c>
      <c r="H139" s="2">
        <v>7</v>
      </c>
      <c r="I139" s="2">
        <v>5</v>
      </c>
      <c r="J139" s="2">
        <v>7</v>
      </c>
      <c r="K139" s="2">
        <f t="shared" ca="1" si="16"/>
        <v>12</v>
      </c>
      <c r="L139" s="2">
        <v>8</v>
      </c>
      <c r="M139" s="2">
        <v>7</v>
      </c>
      <c r="N139" s="2">
        <v>214</v>
      </c>
      <c r="O139" s="2">
        <f t="shared" ca="1" si="17"/>
        <v>0.66666666666666663</v>
      </c>
      <c r="P139" s="2">
        <f t="shared" ca="1" si="18"/>
        <v>91.28205128205127</v>
      </c>
      <c r="Q139" s="2">
        <v>6.1886999999999999</v>
      </c>
      <c r="R139" s="2">
        <f t="shared" si="19"/>
        <v>133.75923076923078</v>
      </c>
      <c r="S139" s="2">
        <v>8</v>
      </c>
      <c r="T139" s="2">
        <v>13</v>
      </c>
      <c r="U139" s="2">
        <v>24.875</v>
      </c>
      <c r="V139" s="2">
        <f t="shared" si="20"/>
        <v>14.106735979665885</v>
      </c>
      <c r="W139" s="2">
        <v>4</v>
      </c>
      <c r="X139" s="2">
        <f t="shared" si="21"/>
        <v>10.198039027185569</v>
      </c>
      <c r="Y139" s="2">
        <v>25</v>
      </c>
      <c r="Z139" s="2">
        <f t="shared" si="22"/>
        <v>14.142135623730951</v>
      </c>
      <c r="AA139" s="2">
        <f t="shared" si="23"/>
        <v>11.61895003862225</v>
      </c>
      <c r="AB139" s="2">
        <v>25.922999999999998</v>
      </c>
      <c r="AC139" s="2">
        <v>6</v>
      </c>
      <c r="AD139" s="2">
        <v>1</v>
      </c>
      <c r="AE139" s="2">
        <v>0</v>
      </c>
      <c r="AF139" s="2">
        <v>4</v>
      </c>
      <c r="AG139" s="2">
        <v>5</v>
      </c>
    </row>
    <row r="140" spans="1:33" x14ac:dyDescent="0.3">
      <c r="A140" s="2" t="s">
        <v>35</v>
      </c>
      <c r="B140" s="2" t="s">
        <v>1090</v>
      </c>
      <c r="C140" s="2" t="s">
        <v>43</v>
      </c>
      <c r="D140" s="2" t="s">
        <v>1091</v>
      </c>
      <c r="E140" s="2">
        <v>2007</v>
      </c>
      <c r="F140" s="2">
        <v>1</v>
      </c>
      <c r="G140" s="2">
        <v>0</v>
      </c>
      <c r="H140" s="2">
        <v>1</v>
      </c>
      <c r="I140" s="2">
        <v>1</v>
      </c>
      <c r="J140" s="2">
        <v>1</v>
      </c>
      <c r="K140" s="2">
        <f t="shared" ca="1" si="16"/>
        <v>19</v>
      </c>
      <c r="L140" s="2">
        <v>0</v>
      </c>
      <c r="M140" s="2">
        <v>0</v>
      </c>
      <c r="N140" s="2">
        <v>0</v>
      </c>
      <c r="O140" s="2">
        <f t="shared" ca="1" si="17"/>
        <v>0</v>
      </c>
      <c r="P140" s="2">
        <f t="shared" ca="1" si="18"/>
        <v>50</v>
      </c>
      <c r="Q140" s="2">
        <v>0</v>
      </c>
      <c r="R140" s="2">
        <f t="shared" si="19"/>
        <v>50</v>
      </c>
      <c r="S140" s="2">
        <v>0</v>
      </c>
      <c r="T140" s="2">
        <v>0</v>
      </c>
      <c r="U140" s="2">
        <v>0</v>
      </c>
      <c r="V140" s="2">
        <f t="shared" si="20"/>
        <v>0</v>
      </c>
      <c r="W140" s="2">
        <v>0</v>
      </c>
      <c r="X140" s="2">
        <f t="shared" si="21"/>
        <v>0</v>
      </c>
      <c r="Y140" s="2">
        <v>0</v>
      </c>
      <c r="Z140" s="2">
        <f t="shared" si="22"/>
        <v>0</v>
      </c>
      <c r="AA140" s="2">
        <f t="shared" si="23"/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</row>
    <row r="141" spans="1:33" x14ac:dyDescent="0.3">
      <c r="A141" s="2" t="s">
        <v>35</v>
      </c>
      <c r="B141" s="2" t="s">
        <v>430</v>
      </c>
      <c r="C141" s="2" t="s">
        <v>43</v>
      </c>
      <c r="D141" s="2" t="s">
        <v>431</v>
      </c>
      <c r="E141" s="2">
        <v>1998</v>
      </c>
      <c r="F141" s="2">
        <v>1</v>
      </c>
      <c r="G141" s="2">
        <v>0</v>
      </c>
      <c r="H141" s="2">
        <v>1</v>
      </c>
      <c r="I141" s="2">
        <v>1</v>
      </c>
      <c r="J141" s="2">
        <v>1</v>
      </c>
      <c r="K141" s="2">
        <f t="shared" ca="1" si="16"/>
        <v>28</v>
      </c>
      <c r="L141" s="2">
        <v>1</v>
      </c>
      <c r="M141" s="2">
        <v>0</v>
      </c>
      <c r="N141" s="2">
        <v>1</v>
      </c>
      <c r="O141" s="2">
        <f t="shared" ca="1" si="17"/>
        <v>3.5714285714285712E-2</v>
      </c>
      <c r="P141" s="2">
        <f t="shared" ca="1" si="18"/>
        <v>153.57142857142858</v>
      </c>
      <c r="Q141" s="2">
        <v>0.1857</v>
      </c>
      <c r="R141" s="2">
        <f t="shared" si="19"/>
        <v>168.57</v>
      </c>
      <c r="S141" s="2">
        <v>1</v>
      </c>
      <c r="T141" s="2">
        <v>1</v>
      </c>
      <c r="U141" s="2">
        <v>1</v>
      </c>
      <c r="V141" s="2">
        <f t="shared" si="20"/>
        <v>1</v>
      </c>
      <c r="W141" s="2">
        <v>1</v>
      </c>
      <c r="X141" s="2">
        <f t="shared" si="21"/>
        <v>1</v>
      </c>
      <c r="Y141" s="2">
        <v>1</v>
      </c>
      <c r="Z141" s="2">
        <f t="shared" si="22"/>
        <v>1</v>
      </c>
      <c r="AA141" s="2">
        <f t="shared" si="23"/>
        <v>0</v>
      </c>
      <c r="AB141" s="2">
        <v>1</v>
      </c>
      <c r="AC141" s="2">
        <v>1</v>
      </c>
      <c r="AD141" s="2">
        <v>0</v>
      </c>
      <c r="AE141" s="2">
        <v>0</v>
      </c>
      <c r="AF141" s="2">
        <v>0</v>
      </c>
      <c r="AG141" s="2">
        <v>1</v>
      </c>
    </row>
    <row r="142" spans="1:33" x14ac:dyDescent="0.3">
      <c r="A142" s="2" t="s">
        <v>35</v>
      </c>
      <c r="B142" s="2" t="s">
        <v>433</v>
      </c>
      <c r="C142" s="2" t="s">
        <v>43</v>
      </c>
      <c r="D142" s="2" t="s">
        <v>434</v>
      </c>
      <c r="E142" s="2">
        <v>2012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f t="shared" ca="1" si="16"/>
        <v>14</v>
      </c>
      <c r="L142" s="2">
        <v>1</v>
      </c>
      <c r="M142" s="2">
        <v>0</v>
      </c>
      <c r="N142" s="2">
        <v>7</v>
      </c>
      <c r="O142" s="2">
        <f t="shared" ca="1" si="17"/>
        <v>7.1428571428571425E-2</v>
      </c>
      <c r="P142" s="2">
        <f t="shared" ca="1" si="18"/>
        <v>107.14285714285714</v>
      </c>
      <c r="Q142" s="2">
        <v>0.68310000000000004</v>
      </c>
      <c r="R142" s="2">
        <f t="shared" si="19"/>
        <v>168.31</v>
      </c>
      <c r="S142" s="2">
        <v>1</v>
      </c>
      <c r="T142" s="2">
        <v>1</v>
      </c>
      <c r="U142" s="2">
        <v>7</v>
      </c>
      <c r="V142" s="2">
        <f t="shared" si="20"/>
        <v>2.6457513110645907</v>
      </c>
      <c r="W142" s="2">
        <v>1</v>
      </c>
      <c r="X142" s="2">
        <f t="shared" si="21"/>
        <v>1</v>
      </c>
      <c r="Y142" s="2">
        <v>7</v>
      </c>
      <c r="Z142" s="2">
        <f t="shared" si="22"/>
        <v>2.6457513110645907</v>
      </c>
      <c r="AA142" s="2">
        <f t="shared" si="23"/>
        <v>2.4494897427831779</v>
      </c>
      <c r="AB142" s="2">
        <v>2.6457999999999999</v>
      </c>
      <c r="AC142" s="2">
        <v>1</v>
      </c>
      <c r="AD142" s="2">
        <v>0</v>
      </c>
      <c r="AE142" s="2">
        <v>0</v>
      </c>
      <c r="AF142" s="2">
        <v>1</v>
      </c>
      <c r="AG142" s="2">
        <v>0</v>
      </c>
    </row>
    <row r="143" spans="1:33" x14ac:dyDescent="0.3">
      <c r="A143" s="2" t="s">
        <v>35</v>
      </c>
      <c r="B143" s="2" t="s">
        <v>1092</v>
      </c>
      <c r="C143" s="2" t="s">
        <v>43</v>
      </c>
      <c r="D143" s="2" t="s">
        <v>1093</v>
      </c>
      <c r="E143" s="2">
        <v>2008</v>
      </c>
      <c r="F143" s="2">
        <v>1</v>
      </c>
      <c r="G143" s="2">
        <v>0</v>
      </c>
      <c r="H143" s="2">
        <v>1</v>
      </c>
      <c r="I143" s="2">
        <v>1</v>
      </c>
      <c r="J143" s="2">
        <v>1</v>
      </c>
      <c r="K143" s="2">
        <f t="shared" ca="1" si="16"/>
        <v>18</v>
      </c>
      <c r="L143" s="2">
        <v>0</v>
      </c>
      <c r="M143" s="2">
        <v>0</v>
      </c>
      <c r="N143" s="2">
        <v>0</v>
      </c>
      <c r="O143" s="2">
        <f t="shared" ca="1" si="17"/>
        <v>0</v>
      </c>
      <c r="P143" s="2">
        <f t="shared" ca="1" si="18"/>
        <v>50</v>
      </c>
      <c r="Q143" s="2">
        <v>0</v>
      </c>
      <c r="R143" s="2">
        <f t="shared" si="19"/>
        <v>50</v>
      </c>
      <c r="S143" s="2">
        <v>0</v>
      </c>
      <c r="T143" s="2">
        <v>0</v>
      </c>
      <c r="U143" s="2">
        <v>0</v>
      </c>
      <c r="V143" s="2">
        <f t="shared" si="20"/>
        <v>0</v>
      </c>
      <c r="W143" s="2">
        <v>0</v>
      </c>
      <c r="X143" s="2">
        <f t="shared" si="21"/>
        <v>0</v>
      </c>
      <c r="Y143" s="2">
        <v>0</v>
      </c>
      <c r="Z143" s="2">
        <f t="shared" si="22"/>
        <v>0</v>
      </c>
      <c r="AA143" s="2">
        <f t="shared" si="23"/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</row>
    <row r="144" spans="1:33" x14ac:dyDescent="0.3">
      <c r="A144" s="2" t="s">
        <v>35</v>
      </c>
      <c r="B144" s="2" t="s">
        <v>436</v>
      </c>
      <c r="C144" s="2" t="s">
        <v>91</v>
      </c>
      <c r="D144" s="2" t="s">
        <v>437</v>
      </c>
      <c r="E144" s="2">
        <v>2013</v>
      </c>
      <c r="F144" s="2">
        <v>76</v>
      </c>
      <c r="G144" s="2">
        <v>17</v>
      </c>
      <c r="H144" s="2">
        <v>4</v>
      </c>
      <c r="I144" s="2">
        <v>48</v>
      </c>
      <c r="J144" s="2">
        <v>50</v>
      </c>
      <c r="K144" s="2">
        <f t="shared" ca="1" si="16"/>
        <v>13</v>
      </c>
      <c r="L144" s="2">
        <v>19</v>
      </c>
      <c r="M144" s="2">
        <v>32</v>
      </c>
      <c r="N144" s="2">
        <v>1740</v>
      </c>
      <c r="O144" s="2">
        <f t="shared" ca="1" si="17"/>
        <v>1.4615384615384615</v>
      </c>
      <c r="P144" s="2">
        <f t="shared" ca="1" si="18"/>
        <v>57.58097165991903</v>
      </c>
      <c r="Q144" s="2">
        <v>12.017899999999999</v>
      </c>
      <c r="R144" s="2">
        <f t="shared" si="19"/>
        <v>71.470921052631581</v>
      </c>
      <c r="S144" s="2">
        <v>19</v>
      </c>
      <c r="T144" s="2">
        <v>41</v>
      </c>
      <c r="U144" s="2">
        <v>76.263199999999998</v>
      </c>
      <c r="V144" s="2">
        <f t="shared" si="20"/>
        <v>38.06574312948586</v>
      </c>
      <c r="W144" s="2">
        <v>7</v>
      </c>
      <c r="X144" s="2">
        <f t="shared" si="21"/>
        <v>27.910571473905726</v>
      </c>
      <c r="Y144" s="2">
        <v>35</v>
      </c>
      <c r="Z144" s="2">
        <f t="shared" si="22"/>
        <v>25.787593916455254</v>
      </c>
      <c r="AA144" s="2">
        <f t="shared" si="23"/>
        <v>32.984857131720311</v>
      </c>
      <c r="AB144" s="2">
        <v>84.605000000000004</v>
      </c>
      <c r="AC144" s="2">
        <v>17</v>
      </c>
      <c r="AD144" s="2">
        <v>1</v>
      </c>
      <c r="AE144" s="2">
        <v>5</v>
      </c>
      <c r="AF144" s="2">
        <v>5</v>
      </c>
      <c r="AG144" s="2">
        <v>16</v>
      </c>
    </row>
    <row r="145" spans="1:33" x14ac:dyDescent="0.3">
      <c r="A145" s="2" t="s">
        <v>35</v>
      </c>
      <c r="B145" s="2" t="s">
        <v>1094</v>
      </c>
      <c r="C145" s="2" t="s">
        <v>43</v>
      </c>
      <c r="D145" s="2" t="s">
        <v>1095</v>
      </c>
      <c r="E145" s="2">
        <v>2018</v>
      </c>
      <c r="F145" s="2">
        <v>1</v>
      </c>
      <c r="G145" s="2">
        <v>0</v>
      </c>
      <c r="H145" s="2">
        <v>1</v>
      </c>
      <c r="I145" s="2">
        <v>1</v>
      </c>
      <c r="J145" s="2">
        <v>1</v>
      </c>
      <c r="K145" s="2">
        <f t="shared" ca="1" si="16"/>
        <v>8</v>
      </c>
      <c r="L145" s="2">
        <v>0</v>
      </c>
      <c r="M145" s="2">
        <v>0</v>
      </c>
      <c r="N145" s="2">
        <v>0</v>
      </c>
      <c r="O145" s="2">
        <f t="shared" ca="1" si="17"/>
        <v>0</v>
      </c>
      <c r="P145" s="2">
        <f t="shared" ca="1" si="18"/>
        <v>50</v>
      </c>
      <c r="Q145" s="2">
        <v>0</v>
      </c>
      <c r="R145" s="2">
        <f t="shared" si="19"/>
        <v>50</v>
      </c>
      <c r="S145" s="2">
        <v>0</v>
      </c>
      <c r="T145" s="2">
        <v>0</v>
      </c>
      <c r="U145" s="2">
        <v>0</v>
      </c>
      <c r="V145" s="2">
        <f t="shared" si="20"/>
        <v>0</v>
      </c>
      <c r="W145" s="2">
        <v>0</v>
      </c>
      <c r="X145" s="2">
        <f t="shared" si="21"/>
        <v>0</v>
      </c>
      <c r="Y145" s="2">
        <v>0</v>
      </c>
      <c r="Z145" s="2">
        <f t="shared" si="22"/>
        <v>0</v>
      </c>
      <c r="AA145" s="2">
        <f t="shared" si="23"/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</row>
    <row r="146" spans="1:33" x14ac:dyDescent="0.3">
      <c r="A146" s="2" t="s">
        <v>35</v>
      </c>
      <c r="B146" s="2" t="s">
        <v>439</v>
      </c>
      <c r="C146" s="2" t="s">
        <v>43</v>
      </c>
      <c r="D146" s="2" t="s">
        <v>440</v>
      </c>
      <c r="E146" s="2">
        <v>2009</v>
      </c>
      <c r="F146" s="2">
        <v>58</v>
      </c>
      <c r="G146" s="2">
        <v>1</v>
      </c>
      <c r="H146" s="2">
        <v>46</v>
      </c>
      <c r="I146" s="2">
        <v>33</v>
      </c>
      <c r="J146" s="2">
        <v>46</v>
      </c>
      <c r="K146" s="2">
        <f t="shared" ca="1" si="16"/>
        <v>17</v>
      </c>
      <c r="L146" s="2">
        <v>7</v>
      </c>
      <c r="M146" s="2">
        <v>2</v>
      </c>
      <c r="N146" s="2">
        <v>137</v>
      </c>
      <c r="O146" s="2">
        <f t="shared" ca="1" si="17"/>
        <v>0.41176470588235292</v>
      </c>
      <c r="P146" s="2">
        <f t="shared" ca="1" si="18"/>
        <v>52.261663286004051</v>
      </c>
      <c r="Q146" s="2">
        <v>2.4781</v>
      </c>
      <c r="R146" s="2">
        <f t="shared" si="19"/>
        <v>55.824310344827573</v>
      </c>
      <c r="S146" s="2">
        <v>7</v>
      </c>
      <c r="T146" s="2">
        <v>8</v>
      </c>
      <c r="U146" s="2">
        <v>9.2857000000000003</v>
      </c>
      <c r="V146" s="2">
        <f t="shared" si="20"/>
        <v>8.062251546559434</v>
      </c>
      <c r="W146" s="2">
        <v>3</v>
      </c>
      <c r="X146" s="2">
        <f t="shared" si="21"/>
        <v>7.4833147735478827</v>
      </c>
      <c r="Y146" s="2">
        <v>8</v>
      </c>
      <c r="Z146" s="2">
        <f t="shared" si="22"/>
        <v>7.4833147735478827</v>
      </c>
      <c r="AA146" s="2">
        <f t="shared" si="23"/>
        <v>3.9999874999804681</v>
      </c>
      <c r="AB146" s="2">
        <v>15.198700000000001</v>
      </c>
      <c r="AC146" s="2">
        <v>6</v>
      </c>
      <c r="AD146" s="2">
        <v>3</v>
      </c>
      <c r="AE146" s="2">
        <v>2</v>
      </c>
      <c r="AF146" s="2">
        <v>0</v>
      </c>
      <c r="AG146" s="2">
        <v>6</v>
      </c>
    </row>
    <row r="147" spans="1:33" x14ac:dyDescent="0.3">
      <c r="A147" s="2" t="s">
        <v>35</v>
      </c>
      <c r="B147" s="2" t="s">
        <v>442</v>
      </c>
      <c r="C147" s="2" t="s">
        <v>51</v>
      </c>
      <c r="D147" s="2" t="s">
        <v>443</v>
      </c>
      <c r="E147" s="2">
        <v>1978</v>
      </c>
      <c r="F147" s="2">
        <v>229</v>
      </c>
      <c r="G147" s="2">
        <v>70</v>
      </c>
      <c r="H147" s="2">
        <v>37</v>
      </c>
      <c r="I147" s="2">
        <v>21</v>
      </c>
      <c r="J147" s="2">
        <v>54</v>
      </c>
      <c r="K147" s="2">
        <f t="shared" ca="1" si="16"/>
        <v>48</v>
      </c>
      <c r="L147" s="2">
        <v>40</v>
      </c>
      <c r="M147" s="2">
        <v>105</v>
      </c>
      <c r="N147" s="2">
        <v>5878</v>
      </c>
      <c r="O147" s="2">
        <f t="shared" ca="1" si="17"/>
        <v>0.83333333333333337</v>
      </c>
      <c r="P147" s="2">
        <f t="shared" ca="1" si="18"/>
        <v>26.56477438136827</v>
      </c>
      <c r="Q147" s="2">
        <v>16.3232</v>
      </c>
      <c r="R147" s="2">
        <f t="shared" si="19"/>
        <v>33.328908296943233</v>
      </c>
      <c r="S147" s="2">
        <v>40</v>
      </c>
      <c r="T147" s="2">
        <v>71</v>
      </c>
      <c r="U147" s="2">
        <v>106.4</v>
      </c>
      <c r="V147" s="2">
        <f t="shared" si="20"/>
        <v>65.238025721200358</v>
      </c>
      <c r="W147" s="2">
        <v>9</v>
      </c>
      <c r="X147" s="2">
        <f t="shared" si="21"/>
        <v>53.291650377896914</v>
      </c>
      <c r="Y147" s="2">
        <v>65</v>
      </c>
      <c r="Z147" s="2">
        <f t="shared" si="22"/>
        <v>50.990195135927848</v>
      </c>
      <c r="AA147" s="2">
        <f t="shared" si="23"/>
        <v>51.536394906900505</v>
      </c>
      <c r="AB147" s="2">
        <v>223.23079999999999</v>
      </c>
      <c r="AC147" s="2">
        <v>27</v>
      </c>
      <c r="AD147" s="2">
        <v>11</v>
      </c>
      <c r="AE147" s="2">
        <v>21</v>
      </c>
      <c r="AF147" s="2">
        <v>25</v>
      </c>
      <c r="AG147" s="2">
        <v>13</v>
      </c>
    </row>
    <row r="148" spans="1:33" x14ac:dyDescent="0.3">
      <c r="A148" s="2" t="s">
        <v>35</v>
      </c>
      <c r="B148" s="2" t="s">
        <v>445</v>
      </c>
      <c r="C148" s="2" t="s">
        <v>51</v>
      </c>
      <c r="D148" s="2" t="s">
        <v>446</v>
      </c>
      <c r="E148" s="2">
        <v>2013</v>
      </c>
      <c r="F148" s="2">
        <v>7</v>
      </c>
      <c r="G148" s="2">
        <v>0</v>
      </c>
      <c r="H148" s="2">
        <v>3</v>
      </c>
      <c r="I148" s="2">
        <v>0</v>
      </c>
      <c r="J148" s="2">
        <v>3</v>
      </c>
      <c r="K148" s="2">
        <f t="shared" ca="1" si="16"/>
        <v>13</v>
      </c>
      <c r="L148" s="2">
        <v>2</v>
      </c>
      <c r="M148" s="2">
        <v>0</v>
      </c>
      <c r="N148" s="2">
        <v>12</v>
      </c>
      <c r="O148" s="2">
        <f t="shared" ca="1" si="17"/>
        <v>0.15384615384615385</v>
      </c>
      <c r="P148" s="2">
        <f t="shared" ca="1" si="18"/>
        <v>52.197802197802197</v>
      </c>
      <c r="Q148" s="2">
        <v>1.0465</v>
      </c>
      <c r="R148" s="2">
        <f t="shared" si="19"/>
        <v>64.95</v>
      </c>
      <c r="S148" s="2">
        <v>2</v>
      </c>
      <c r="T148" s="2">
        <v>3</v>
      </c>
      <c r="U148" s="2">
        <v>4</v>
      </c>
      <c r="V148" s="2">
        <f t="shared" si="20"/>
        <v>2.8284271247461903</v>
      </c>
      <c r="W148" s="2">
        <v>1</v>
      </c>
      <c r="X148" s="2">
        <f t="shared" si="21"/>
        <v>2.4494897427831779</v>
      </c>
      <c r="Y148" s="2">
        <v>4</v>
      </c>
      <c r="Z148" s="2">
        <f t="shared" si="22"/>
        <v>2.8284271247461903</v>
      </c>
      <c r="AA148" s="2">
        <f t="shared" si="23"/>
        <v>2</v>
      </c>
      <c r="AB148" s="2">
        <v>3.1623000000000001</v>
      </c>
      <c r="AC148" s="2">
        <v>1</v>
      </c>
      <c r="AD148" s="2">
        <v>2</v>
      </c>
      <c r="AE148" s="2">
        <v>1</v>
      </c>
      <c r="AF148" s="2">
        <v>1</v>
      </c>
      <c r="AG148" s="2">
        <v>0</v>
      </c>
    </row>
    <row r="149" spans="1:33" x14ac:dyDescent="0.3">
      <c r="A149" s="2" t="s">
        <v>35</v>
      </c>
      <c r="B149" s="2" t="s">
        <v>448</v>
      </c>
      <c r="C149" s="2" t="s">
        <v>43</v>
      </c>
      <c r="D149" s="2" t="s">
        <v>449</v>
      </c>
      <c r="E149" s="2">
        <v>2011</v>
      </c>
      <c r="F149" s="2">
        <v>12</v>
      </c>
      <c r="G149" s="2">
        <v>0</v>
      </c>
      <c r="H149" s="2">
        <v>11</v>
      </c>
      <c r="I149" s="2">
        <v>11</v>
      </c>
      <c r="J149" s="2">
        <v>11</v>
      </c>
      <c r="K149" s="2">
        <f t="shared" ca="1" si="16"/>
        <v>15</v>
      </c>
      <c r="L149" s="2">
        <v>4</v>
      </c>
      <c r="M149" s="2">
        <v>1</v>
      </c>
      <c r="N149" s="2">
        <v>29</v>
      </c>
      <c r="O149" s="2">
        <f t="shared" ca="1" si="17"/>
        <v>0.26666666666666666</v>
      </c>
      <c r="P149" s="2">
        <f t="shared" ca="1" si="18"/>
        <v>81.3888888888889</v>
      </c>
      <c r="Q149" s="2">
        <v>1.4610000000000001</v>
      </c>
      <c r="R149" s="2">
        <f t="shared" si="19"/>
        <v>91.341666666666669</v>
      </c>
      <c r="S149" s="2">
        <v>4</v>
      </c>
      <c r="T149" s="2">
        <v>5</v>
      </c>
      <c r="U149" s="2">
        <v>6.25</v>
      </c>
      <c r="V149" s="2">
        <f t="shared" si="20"/>
        <v>5</v>
      </c>
      <c r="W149" s="2">
        <v>2</v>
      </c>
      <c r="X149" s="2">
        <f t="shared" si="21"/>
        <v>4.4721359549995796</v>
      </c>
      <c r="Y149" s="2">
        <v>5.5</v>
      </c>
      <c r="Z149" s="2">
        <f t="shared" si="22"/>
        <v>4.6904157598234297</v>
      </c>
      <c r="AA149" s="2">
        <f t="shared" si="23"/>
        <v>3</v>
      </c>
      <c r="AB149" s="2">
        <v>7.2801</v>
      </c>
      <c r="AC149" s="2">
        <v>4</v>
      </c>
      <c r="AD149" s="2">
        <v>0</v>
      </c>
      <c r="AE149" s="2">
        <v>1</v>
      </c>
      <c r="AF149" s="2">
        <v>0</v>
      </c>
      <c r="AG149" s="2">
        <v>4</v>
      </c>
    </row>
    <row r="150" spans="1:33" x14ac:dyDescent="0.3">
      <c r="A150" s="2" t="s">
        <v>35</v>
      </c>
      <c r="B150" s="2" t="s">
        <v>451</v>
      </c>
      <c r="C150" s="2" t="s">
        <v>91</v>
      </c>
      <c r="D150" s="2" t="s">
        <v>452</v>
      </c>
      <c r="E150" s="2">
        <v>2010</v>
      </c>
      <c r="F150" s="2">
        <v>54</v>
      </c>
      <c r="G150" s="2">
        <v>20</v>
      </c>
      <c r="H150" s="2">
        <v>8</v>
      </c>
      <c r="I150" s="2">
        <v>19</v>
      </c>
      <c r="J150" s="2">
        <v>24</v>
      </c>
      <c r="K150" s="2">
        <f t="shared" ca="1" si="16"/>
        <v>16</v>
      </c>
      <c r="L150" s="2">
        <v>21</v>
      </c>
      <c r="M150" s="2">
        <v>35</v>
      </c>
      <c r="N150" s="2">
        <v>1477</v>
      </c>
      <c r="O150" s="2">
        <f t="shared" ca="1" si="17"/>
        <v>1.3125</v>
      </c>
      <c r="P150" s="2">
        <f t="shared" ca="1" si="18"/>
        <v>59.837962962962962</v>
      </c>
      <c r="Q150" s="2">
        <v>15.0581</v>
      </c>
      <c r="R150" s="2">
        <f t="shared" si="19"/>
        <v>85.292777777777772</v>
      </c>
      <c r="S150" s="2">
        <v>21</v>
      </c>
      <c r="T150" s="2">
        <v>38</v>
      </c>
      <c r="U150" s="2">
        <v>59.142899999999997</v>
      </c>
      <c r="V150" s="2">
        <f t="shared" si="20"/>
        <v>35.242033142257839</v>
      </c>
      <c r="W150" s="2">
        <v>8</v>
      </c>
      <c r="X150" s="2">
        <f t="shared" si="21"/>
        <v>28.24889378365107</v>
      </c>
      <c r="Y150" s="2">
        <v>44</v>
      </c>
      <c r="Z150" s="2">
        <f t="shared" si="22"/>
        <v>30.397368307141328</v>
      </c>
      <c r="AA150" s="2">
        <f t="shared" si="23"/>
        <v>28.301959296133546</v>
      </c>
      <c r="AB150" s="2">
        <v>93.343500000000006</v>
      </c>
      <c r="AC150" s="2">
        <v>14</v>
      </c>
      <c r="AD150" s="2">
        <v>2</v>
      </c>
      <c r="AE150" s="2">
        <v>7</v>
      </c>
      <c r="AF150" s="2">
        <v>10</v>
      </c>
      <c r="AG150" s="2">
        <v>13</v>
      </c>
    </row>
    <row r="151" spans="1:33" x14ac:dyDescent="0.3">
      <c r="A151" s="2" t="s">
        <v>35</v>
      </c>
      <c r="B151" s="2" t="s">
        <v>1096</v>
      </c>
      <c r="C151" s="2" t="s">
        <v>187</v>
      </c>
      <c r="D151" s="2" t="s">
        <v>1097</v>
      </c>
      <c r="E151" s="2">
        <v>2024</v>
      </c>
      <c r="F151" s="2">
        <v>2</v>
      </c>
      <c r="G151" s="2">
        <v>0</v>
      </c>
      <c r="H151" s="2">
        <v>0</v>
      </c>
      <c r="I151" s="2">
        <v>1</v>
      </c>
      <c r="J151" s="2">
        <v>1</v>
      </c>
      <c r="K151" s="2">
        <f t="shared" ca="1" si="16"/>
        <v>2</v>
      </c>
      <c r="L151" s="2">
        <v>0</v>
      </c>
      <c r="M151" s="2">
        <v>0</v>
      </c>
      <c r="N151" s="2">
        <v>0</v>
      </c>
      <c r="O151" s="2">
        <f t="shared" ca="1" si="17"/>
        <v>0</v>
      </c>
      <c r="P151" s="2">
        <f t="shared" ca="1" si="18"/>
        <v>25</v>
      </c>
      <c r="Q151" s="2">
        <v>0</v>
      </c>
      <c r="R151" s="2">
        <f t="shared" si="19"/>
        <v>25</v>
      </c>
      <c r="S151" s="2">
        <v>0</v>
      </c>
      <c r="T151" s="2">
        <v>0</v>
      </c>
      <c r="U151" s="2">
        <v>0</v>
      </c>
      <c r="V151" s="2">
        <f t="shared" si="20"/>
        <v>0</v>
      </c>
      <c r="W151" s="2">
        <v>0</v>
      </c>
      <c r="X151" s="2">
        <f t="shared" si="21"/>
        <v>0</v>
      </c>
      <c r="Y151" s="2">
        <v>0</v>
      </c>
      <c r="Z151" s="2">
        <f t="shared" si="22"/>
        <v>0</v>
      </c>
      <c r="AA151" s="2">
        <f t="shared" si="23"/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 x14ac:dyDescent="0.3">
      <c r="A152" s="2" t="s">
        <v>35</v>
      </c>
      <c r="B152" s="2" t="s">
        <v>454</v>
      </c>
      <c r="C152" s="2" t="s">
        <v>91</v>
      </c>
      <c r="D152" s="2" t="s">
        <v>455</v>
      </c>
      <c r="E152" s="2">
        <v>2014</v>
      </c>
      <c r="F152" s="2">
        <v>66</v>
      </c>
      <c r="G152" s="2">
        <v>14</v>
      </c>
      <c r="H152" s="2">
        <v>10</v>
      </c>
      <c r="I152" s="2">
        <v>19</v>
      </c>
      <c r="J152" s="2">
        <v>25</v>
      </c>
      <c r="K152" s="2">
        <f t="shared" ca="1" si="16"/>
        <v>12</v>
      </c>
      <c r="L152" s="2">
        <v>17</v>
      </c>
      <c r="M152" s="2">
        <v>28</v>
      </c>
      <c r="N152" s="2">
        <v>912</v>
      </c>
      <c r="O152" s="2">
        <f t="shared" ca="1" si="17"/>
        <v>1.4166666666666667</v>
      </c>
      <c r="P152" s="2">
        <f t="shared" ca="1" si="18"/>
        <v>44.722222222222229</v>
      </c>
      <c r="Q152" s="2">
        <v>9.8732000000000006</v>
      </c>
      <c r="R152" s="2">
        <f t="shared" si="19"/>
        <v>57.535151515151526</v>
      </c>
      <c r="S152" s="2">
        <v>17</v>
      </c>
      <c r="T152" s="2">
        <v>29</v>
      </c>
      <c r="U152" s="2">
        <v>41.352899999999998</v>
      </c>
      <c r="V152" s="2">
        <f t="shared" si="20"/>
        <v>26.514133966622406</v>
      </c>
      <c r="W152" s="2">
        <v>6</v>
      </c>
      <c r="X152" s="2">
        <f t="shared" si="21"/>
        <v>22.203603311174518</v>
      </c>
      <c r="Y152" s="2">
        <v>32</v>
      </c>
      <c r="Z152" s="2">
        <f t="shared" si="22"/>
        <v>23.323807579381203</v>
      </c>
      <c r="AA152" s="2">
        <f t="shared" si="23"/>
        <v>20.34697274780698</v>
      </c>
      <c r="AB152" s="2">
        <v>66.633300000000006</v>
      </c>
      <c r="AC152" s="2">
        <v>13</v>
      </c>
      <c r="AD152" s="2">
        <v>5</v>
      </c>
      <c r="AE152" s="2">
        <v>9</v>
      </c>
      <c r="AF152" s="2">
        <v>7</v>
      </c>
      <c r="AG152" s="2">
        <v>8</v>
      </c>
    </row>
    <row r="153" spans="1:33" x14ac:dyDescent="0.3">
      <c r="A153" s="2" t="s">
        <v>35</v>
      </c>
      <c r="B153" s="2" t="s">
        <v>457</v>
      </c>
      <c r="C153" s="2" t="s">
        <v>240</v>
      </c>
      <c r="D153" s="2" t="s">
        <v>458</v>
      </c>
      <c r="E153" s="2">
        <v>2008</v>
      </c>
      <c r="F153" s="2">
        <v>32</v>
      </c>
      <c r="G153" s="2">
        <v>0</v>
      </c>
      <c r="H153" s="2">
        <v>27</v>
      </c>
      <c r="I153" s="2">
        <v>25</v>
      </c>
      <c r="J153" s="2">
        <v>27</v>
      </c>
      <c r="K153" s="2">
        <f t="shared" ca="1" si="16"/>
        <v>18</v>
      </c>
      <c r="L153" s="2">
        <v>4</v>
      </c>
      <c r="M153" s="2">
        <v>1</v>
      </c>
      <c r="N153" s="2">
        <v>71</v>
      </c>
      <c r="O153" s="2">
        <f t="shared" ca="1" si="17"/>
        <v>0.22222222222222221</v>
      </c>
      <c r="P153" s="2">
        <f t="shared" ca="1" si="18"/>
        <v>55.381944444444443</v>
      </c>
      <c r="Q153" s="2">
        <v>3.3664999999999998</v>
      </c>
      <c r="R153" s="2">
        <f t="shared" si="19"/>
        <v>65.207812499999989</v>
      </c>
      <c r="S153" s="2">
        <v>4</v>
      </c>
      <c r="T153" s="2">
        <v>7</v>
      </c>
      <c r="U153" s="2">
        <v>13.25</v>
      </c>
      <c r="V153" s="2">
        <f t="shared" si="20"/>
        <v>7.2801098892805181</v>
      </c>
      <c r="W153" s="2">
        <v>2</v>
      </c>
      <c r="X153" s="2">
        <f t="shared" si="21"/>
        <v>5.2915026221291814</v>
      </c>
      <c r="Y153" s="2">
        <v>6.5</v>
      </c>
      <c r="Z153" s="2">
        <f t="shared" si="22"/>
        <v>5.0990195135927845</v>
      </c>
      <c r="AA153" s="2">
        <f t="shared" si="23"/>
        <v>6.0827625302982193</v>
      </c>
      <c r="AB153" s="2">
        <v>9.1652000000000005</v>
      </c>
      <c r="AC153" s="2">
        <v>4</v>
      </c>
      <c r="AD153" s="2">
        <v>1</v>
      </c>
      <c r="AE153" s="2">
        <v>1</v>
      </c>
      <c r="AF153" s="2">
        <v>0</v>
      </c>
      <c r="AG153" s="2">
        <v>4</v>
      </c>
    </row>
    <row r="154" spans="1:33" x14ac:dyDescent="0.3">
      <c r="A154" s="2" t="s">
        <v>35</v>
      </c>
      <c r="B154" s="2" t="s">
        <v>460</v>
      </c>
      <c r="C154" s="2" t="s">
        <v>43</v>
      </c>
      <c r="D154" s="2" t="s">
        <v>461</v>
      </c>
      <c r="E154" s="2">
        <v>2009</v>
      </c>
      <c r="F154" s="2">
        <v>16</v>
      </c>
      <c r="G154" s="2">
        <v>0</v>
      </c>
      <c r="H154" s="2">
        <v>16</v>
      </c>
      <c r="I154" s="2">
        <v>10</v>
      </c>
      <c r="J154" s="2">
        <v>16</v>
      </c>
      <c r="K154" s="2">
        <f t="shared" ca="1" si="16"/>
        <v>17</v>
      </c>
      <c r="L154" s="2">
        <v>4</v>
      </c>
      <c r="M154" s="2">
        <v>2</v>
      </c>
      <c r="N154" s="2">
        <v>49</v>
      </c>
      <c r="O154" s="2">
        <f t="shared" ca="1" si="17"/>
        <v>0.23529411764705882</v>
      </c>
      <c r="P154" s="2">
        <f t="shared" ca="1" si="18"/>
        <v>76.470588235294116</v>
      </c>
      <c r="Q154" s="2">
        <v>1.9225000000000001</v>
      </c>
      <c r="R154" s="2">
        <f t="shared" si="19"/>
        <v>87.015625</v>
      </c>
      <c r="S154" s="2">
        <v>4</v>
      </c>
      <c r="T154" s="2">
        <v>7</v>
      </c>
      <c r="U154" s="2">
        <v>11.5</v>
      </c>
      <c r="V154" s="2">
        <f t="shared" si="20"/>
        <v>6.7823299831252681</v>
      </c>
      <c r="W154" s="2">
        <v>2</v>
      </c>
      <c r="X154" s="2">
        <f t="shared" si="21"/>
        <v>5.2915026221291814</v>
      </c>
      <c r="Y154" s="2">
        <v>11</v>
      </c>
      <c r="Z154" s="2">
        <f t="shared" si="22"/>
        <v>6.6332495807107996</v>
      </c>
      <c r="AA154" s="2">
        <f t="shared" si="23"/>
        <v>5.4772255750516612</v>
      </c>
      <c r="AB154" s="2">
        <v>9.6953999999999994</v>
      </c>
      <c r="AC154" s="2">
        <v>4</v>
      </c>
      <c r="AD154" s="2">
        <v>2</v>
      </c>
      <c r="AE154" s="2">
        <v>0</v>
      </c>
      <c r="AF154" s="2">
        <v>0</v>
      </c>
      <c r="AG154" s="2">
        <v>2</v>
      </c>
    </row>
    <row r="155" spans="1:33" x14ac:dyDescent="0.3">
      <c r="A155" s="2" t="s">
        <v>35</v>
      </c>
      <c r="B155" s="2" t="s">
        <v>463</v>
      </c>
      <c r="C155" s="2" t="s">
        <v>43</v>
      </c>
      <c r="D155" s="2" t="s">
        <v>464</v>
      </c>
      <c r="E155" s="2">
        <v>2005</v>
      </c>
      <c r="F155" s="2">
        <v>20</v>
      </c>
      <c r="G155" s="2">
        <v>4</v>
      </c>
      <c r="H155" s="2">
        <v>2</v>
      </c>
      <c r="I155" s="2">
        <v>2</v>
      </c>
      <c r="J155" s="2">
        <v>2</v>
      </c>
      <c r="K155" s="2">
        <f t="shared" ca="1" si="16"/>
        <v>21</v>
      </c>
      <c r="L155" s="2">
        <v>7</v>
      </c>
      <c r="M155" s="2">
        <v>7</v>
      </c>
      <c r="N155" s="2">
        <v>124</v>
      </c>
      <c r="O155" s="2">
        <f t="shared" ca="1" si="17"/>
        <v>0.33333333333333331</v>
      </c>
      <c r="P155" s="2">
        <f t="shared" ca="1" si="18"/>
        <v>39.666666666666664</v>
      </c>
      <c r="Q155" s="2">
        <v>4.1779999999999999</v>
      </c>
      <c r="R155" s="2">
        <f t="shared" si="19"/>
        <v>58.889999999999993</v>
      </c>
      <c r="S155" s="2">
        <v>7</v>
      </c>
      <c r="T155" s="2">
        <v>11</v>
      </c>
      <c r="U155" s="2">
        <v>15.571400000000001</v>
      </c>
      <c r="V155" s="2">
        <f t="shared" si="20"/>
        <v>10.440296930643305</v>
      </c>
      <c r="W155" s="2">
        <v>4</v>
      </c>
      <c r="X155" s="2">
        <f t="shared" si="21"/>
        <v>8.7749643873921226</v>
      </c>
      <c r="Y155" s="2">
        <v>16</v>
      </c>
      <c r="Z155" s="2">
        <f t="shared" si="22"/>
        <v>10.583005244258363</v>
      </c>
      <c r="AA155" s="2">
        <f t="shared" si="23"/>
        <v>7.7459537824595888</v>
      </c>
      <c r="AB155" s="2">
        <v>19.339099999999998</v>
      </c>
      <c r="AC155" s="2">
        <v>5</v>
      </c>
      <c r="AD155" s="2">
        <v>0</v>
      </c>
      <c r="AE155" s="2">
        <v>3</v>
      </c>
      <c r="AF155" s="2">
        <v>5</v>
      </c>
      <c r="AG155" s="2">
        <v>1</v>
      </c>
    </row>
    <row r="156" spans="1:33" x14ac:dyDescent="0.3">
      <c r="A156" s="2" t="s">
        <v>35</v>
      </c>
      <c r="B156" s="2" t="s">
        <v>466</v>
      </c>
      <c r="C156" s="2" t="s">
        <v>74</v>
      </c>
      <c r="D156" s="2" t="s">
        <v>467</v>
      </c>
      <c r="E156" s="2">
        <v>1975</v>
      </c>
      <c r="F156" s="2">
        <v>17</v>
      </c>
      <c r="G156" s="2">
        <v>1</v>
      </c>
      <c r="H156" s="2">
        <v>14</v>
      </c>
      <c r="I156" s="2">
        <v>12</v>
      </c>
      <c r="J156" s="2">
        <v>14</v>
      </c>
      <c r="K156" s="2">
        <f t="shared" ca="1" si="16"/>
        <v>51</v>
      </c>
      <c r="L156" s="2">
        <v>3</v>
      </c>
      <c r="M156" s="2">
        <v>2</v>
      </c>
      <c r="N156" s="2">
        <v>34</v>
      </c>
      <c r="O156" s="2">
        <f t="shared" ca="1" si="17"/>
        <v>5.8823529411764705E-2</v>
      </c>
      <c r="P156" s="2">
        <f t="shared" ca="1" si="18"/>
        <v>58.581314878892741</v>
      </c>
      <c r="Q156" s="2">
        <v>2.2637999999999998</v>
      </c>
      <c r="R156" s="2">
        <f t="shared" si="19"/>
        <v>71.551764705882363</v>
      </c>
      <c r="S156" s="2">
        <v>3</v>
      </c>
      <c r="T156" s="2">
        <v>5</v>
      </c>
      <c r="U156" s="2">
        <v>10</v>
      </c>
      <c r="V156" s="2">
        <f t="shared" si="20"/>
        <v>5.4772255750516612</v>
      </c>
      <c r="W156" s="2">
        <v>2</v>
      </c>
      <c r="X156" s="2">
        <f t="shared" si="21"/>
        <v>3.872983346207417</v>
      </c>
      <c r="Y156" s="2">
        <v>13</v>
      </c>
      <c r="Z156" s="2">
        <f t="shared" si="22"/>
        <v>6.2449979983983983</v>
      </c>
      <c r="AA156" s="2">
        <f t="shared" si="23"/>
        <v>4.5825756949558398</v>
      </c>
      <c r="AB156" s="2">
        <v>7</v>
      </c>
      <c r="AC156" s="2">
        <v>3</v>
      </c>
      <c r="AD156" s="2">
        <v>0</v>
      </c>
      <c r="AE156" s="2">
        <v>1</v>
      </c>
      <c r="AF156" s="2">
        <v>0</v>
      </c>
      <c r="AG156" s="2">
        <v>3</v>
      </c>
    </row>
    <row r="157" spans="1:33" x14ac:dyDescent="0.3">
      <c r="A157" s="2" t="s">
        <v>35</v>
      </c>
      <c r="B157" s="2" t="s">
        <v>469</v>
      </c>
      <c r="C157" s="2" t="s">
        <v>128</v>
      </c>
      <c r="D157" s="2" t="s">
        <v>470</v>
      </c>
      <c r="E157" s="2">
        <v>2012</v>
      </c>
      <c r="F157" s="2">
        <v>8</v>
      </c>
      <c r="G157" s="2">
        <v>1</v>
      </c>
      <c r="H157" s="2">
        <v>7</v>
      </c>
      <c r="I157" s="2">
        <v>4</v>
      </c>
      <c r="J157" s="2">
        <v>7</v>
      </c>
      <c r="K157" s="2">
        <f t="shared" ca="1" si="16"/>
        <v>14</v>
      </c>
      <c r="L157" s="2">
        <v>1</v>
      </c>
      <c r="M157" s="2">
        <v>0</v>
      </c>
      <c r="N157" s="2">
        <v>1</v>
      </c>
      <c r="O157" s="2">
        <f t="shared" ca="1" si="17"/>
        <v>7.1428571428571425E-2</v>
      </c>
      <c r="P157" s="2">
        <f t="shared" ca="1" si="18"/>
        <v>55.892857142857146</v>
      </c>
      <c r="Q157" s="2">
        <v>0.31619999999999998</v>
      </c>
      <c r="R157" s="2">
        <f t="shared" si="19"/>
        <v>58.952500000000008</v>
      </c>
      <c r="S157" s="2">
        <v>1</v>
      </c>
      <c r="T157" s="2">
        <v>1</v>
      </c>
      <c r="U157" s="2">
        <v>1</v>
      </c>
      <c r="V157" s="2">
        <f t="shared" si="20"/>
        <v>1</v>
      </c>
      <c r="W157" s="2">
        <v>1</v>
      </c>
      <c r="X157" s="2">
        <f t="shared" si="21"/>
        <v>1</v>
      </c>
      <c r="Y157" s="2">
        <v>1</v>
      </c>
      <c r="Z157" s="2">
        <f t="shared" si="22"/>
        <v>1</v>
      </c>
      <c r="AA157" s="2">
        <f t="shared" si="23"/>
        <v>0</v>
      </c>
      <c r="AB157" s="2">
        <v>1</v>
      </c>
      <c r="AC157" s="2">
        <v>0</v>
      </c>
      <c r="AD157" s="2">
        <v>1</v>
      </c>
      <c r="AE157" s="2">
        <v>0</v>
      </c>
      <c r="AF157" s="2">
        <v>0</v>
      </c>
      <c r="AG157" s="2">
        <v>0</v>
      </c>
    </row>
    <row r="158" spans="1:33" x14ac:dyDescent="0.3">
      <c r="A158" s="2" t="s">
        <v>35</v>
      </c>
      <c r="B158" s="2" t="s">
        <v>1098</v>
      </c>
      <c r="C158" s="2" t="s">
        <v>240</v>
      </c>
      <c r="D158" s="2" t="s">
        <v>1099</v>
      </c>
      <c r="E158" s="2">
        <v>1996</v>
      </c>
      <c r="F158" s="2">
        <v>2</v>
      </c>
      <c r="G158" s="2">
        <v>0</v>
      </c>
      <c r="H158" s="2">
        <v>2</v>
      </c>
      <c r="I158" s="2">
        <v>2</v>
      </c>
      <c r="J158" s="2">
        <v>2</v>
      </c>
      <c r="K158" s="2">
        <f t="shared" ca="1" si="16"/>
        <v>30</v>
      </c>
      <c r="L158" s="2">
        <v>0</v>
      </c>
      <c r="M158" s="2">
        <v>0</v>
      </c>
      <c r="N158" s="2">
        <v>0</v>
      </c>
      <c r="O158" s="2">
        <f t="shared" ca="1" si="17"/>
        <v>0</v>
      </c>
      <c r="P158" s="2">
        <f t="shared" ca="1" si="18"/>
        <v>50</v>
      </c>
      <c r="Q158" s="2">
        <v>0</v>
      </c>
      <c r="R158" s="2">
        <f t="shared" si="19"/>
        <v>50</v>
      </c>
      <c r="S158" s="2">
        <v>0</v>
      </c>
      <c r="T158" s="2">
        <v>0</v>
      </c>
      <c r="U158" s="2">
        <v>0</v>
      </c>
      <c r="V158" s="2">
        <f t="shared" si="20"/>
        <v>0</v>
      </c>
      <c r="W158" s="2">
        <v>0</v>
      </c>
      <c r="X158" s="2">
        <f t="shared" si="21"/>
        <v>0</v>
      </c>
      <c r="Y158" s="2">
        <v>0</v>
      </c>
      <c r="Z158" s="2">
        <f t="shared" si="22"/>
        <v>0</v>
      </c>
      <c r="AA158" s="2">
        <f t="shared" si="23"/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 x14ac:dyDescent="0.3">
      <c r="A159" s="2" t="s">
        <v>35</v>
      </c>
      <c r="B159" s="2" t="s">
        <v>472</v>
      </c>
      <c r="C159" s="2" t="s">
        <v>43</v>
      </c>
      <c r="D159" s="2" t="s">
        <v>473</v>
      </c>
      <c r="E159" s="2">
        <v>2011</v>
      </c>
      <c r="F159" s="2">
        <v>18</v>
      </c>
      <c r="G159" s="2">
        <v>0</v>
      </c>
      <c r="H159" s="2">
        <v>17</v>
      </c>
      <c r="I159" s="2">
        <v>15</v>
      </c>
      <c r="J159" s="2">
        <v>17</v>
      </c>
      <c r="K159" s="2">
        <f t="shared" ca="1" si="16"/>
        <v>15</v>
      </c>
      <c r="L159" s="2">
        <v>1</v>
      </c>
      <c r="M159" s="2">
        <v>0</v>
      </c>
      <c r="N159" s="2">
        <v>10</v>
      </c>
      <c r="O159" s="2">
        <f t="shared" ca="1" si="17"/>
        <v>6.6666666666666666E-2</v>
      </c>
      <c r="P159" s="2">
        <f t="shared" ca="1" si="18"/>
        <v>53.148148148148145</v>
      </c>
      <c r="Q159" s="2">
        <v>1.1832</v>
      </c>
      <c r="R159" s="2">
        <f t="shared" si="19"/>
        <v>59.351111111111102</v>
      </c>
      <c r="S159" s="2">
        <v>1</v>
      </c>
      <c r="T159" s="2">
        <v>3</v>
      </c>
      <c r="U159" s="2">
        <v>7</v>
      </c>
      <c r="V159" s="2">
        <f t="shared" si="20"/>
        <v>2.6457513110645907</v>
      </c>
      <c r="W159" s="2">
        <v>1</v>
      </c>
      <c r="X159" s="2">
        <f t="shared" si="21"/>
        <v>1.7320508075688772</v>
      </c>
      <c r="Y159" s="2">
        <v>7</v>
      </c>
      <c r="Z159" s="2">
        <f t="shared" si="22"/>
        <v>2.6457513110645907</v>
      </c>
      <c r="AA159" s="2">
        <f t="shared" si="23"/>
        <v>2.4494897427831779</v>
      </c>
      <c r="AB159" s="2">
        <v>2.6457999999999999</v>
      </c>
      <c r="AC159" s="2">
        <v>1</v>
      </c>
      <c r="AD159" s="2">
        <v>1</v>
      </c>
      <c r="AE159" s="2">
        <v>0</v>
      </c>
      <c r="AF159" s="2">
        <v>0</v>
      </c>
      <c r="AG159" s="2">
        <v>1</v>
      </c>
    </row>
    <row r="160" spans="1:33" x14ac:dyDescent="0.3">
      <c r="A160" s="2" t="s">
        <v>35</v>
      </c>
      <c r="B160" s="2" t="s">
        <v>475</v>
      </c>
      <c r="C160" s="2" t="s">
        <v>51</v>
      </c>
      <c r="D160" s="2" t="s">
        <v>476</v>
      </c>
      <c r="E160" s="2">
        <v>2017</v>
      </c>
      <c r="F160" s="2">
        <v>2</v>
      </c>
      <c r="G160" s="2">
        <v>0</v>
      </c>
      <c r="H160" s="2">
        <v>0</v>
      </c>
      <c r="I160" s="2">
        <v>0</v>
      </c>
      <c r="J160" s="2">
        <v>0</v>
      </c>
      <c r="K160" s="2">
        <f t="shared" ca="1" si="16"/>
        <v>9</v>
      </c>
      <c r="L160" s="2">
        <v>1</v>
      </c>
      <c r="M160" s="2">
        <v>0</v>
      </c>
      <c r="N160" s="2">
        <v>9</v>
      </c>
      <c r="O160" s="2">
        <f t="shared" ca="1" si="17"/>
        <v>0.1111111111111111</v>
      </c>
      <c r="P160" s="2">
        <f t="shared" ca="1" si="18"/>
        <v>55.555555555555557</v>
      </c>
      <c r="Q160" s="2">
        <v>0.94869999999999999</v>
      </c>
      <c r="R160" s="2">
        <f t="shared" si="19"/>
        <v>97.435000000000002</v>
      </c>
      <c r="S160" s="2">
        <v>1</v>
      </c>
      <c r="T160" s="2">
        <v>2</v>
      </c>
      <c r="U160" s="2">
        <v>9</v>
      </c>
      <c r="V160" s="2">
        <f t="shared" si="20"/>
        <v>3</v>
      </c>
      <c r="W160" s="2">
        <v>1</v>
      </c>
      <c r="X160" s="2">
        <f t="shared" si="21"/>
        <v>1.4142135623730951</v>
      </c>
      <c r="Y160" s="2">
        <v>9</v>
      </c>
      <c r="Z160" s="2">
        <f t="shared" si="22"/>
        <v>3</v>
      </c>
      <c r="AA160" s="2">
        <f t="shared" si="23"/>
        <v>2.8284271247461903</v>
      </c>
      <c r="AB160" s="2">
        <v>3</v>
      </c>
      <c r="AC160" s="2">
        <v>1</v>
      </c>
      <c r="AD160" s="2">
        <v>0</v>
      </c>
      <c r="AE160" s="2">
        <v>0</v>
      </c>
      <c r="AF160" s="2">
        <v>1</v>
      </c>
      <c r="AG160" s="2">
        <v>0</v>
      </c>
    </row>
    <row r="161" spans="1:33" x14ac:dyDescent="0.3">
      <c r="A161" s="2" t="s">
        <v>35</v>
      </c>
      <c r="B161" s="2" t="s">
        <v>478</v>
      </c>
      <c r="C161" s="2" t="s">
        <v>55</v>
      </c>
      <c r="D161" s="2" t="s">
        <v>479</v>
      </c>
      <c r="E161" s="2">
        <v>2002</v>
      </c>
      <c r="F161" s="2">
        <v>9</v>
      </c>
      <c r="G161" s="2">
        <v>0</v>
      </c>
      <c r="H161" s="2">
        <v>9</v>
      </c>
      <c r="I161" s="2">
        <v>7</v>
      </c>
      <c r="J161" s="2">
        <v>9</v>
      </c>
      <c r="K161" s="2">
        <f t="shared" ca="1" si="16"/>
        <v>24</v>
      </c>
      <c r="L161" s="2">
        <v>1</v>
      </c>
      <c r="M161" s="2">
        <v>0</v>
      </c>
      <c r="N161" s="2">
        <v>4</v>
      </c>
      <c r="O161" s="2">
        <f t="shared" ca="1" si="17"/>
        <v>4.1666666666666664E-2</v>
      </c>
      <c r="P161" s="2">
        <f t="shared" ca="1" si="18"/>
        <v>61.574074074074076</v>
      </c>
      <c r="Q161" s="2">
        <v>0.65469999999999995</v>
      </c>
      <c r="R161" s="2">
        <f t="shared" si="19"/>
        <v>68.385555555555555</v>
      </c>
      <c r="S161" s="2">
        <v>1</v>
      </c>
      <c r="T161" s="2">
        <v>2</v>
      </c>
      <c r="U161" s="2">
        <v>3</v>
      </c>
      <c r="V161" s="2">
        <f t="shared" si="20"/>
        <v>1.7320508075688772</v>
      </c>
      <c r="W161" s="2">
        <v>1</v>
      </c>
      <c r="X161" s="2">
        <f t="shared" si="21"/>
        <v>1.4142135623730951</v>
      </c>
      <c r="Y161" s="2">
        <v>3</v>
      </c>
      <c r="Z161" s="2">
        <f t="shared" si="22"/>
        <v>1.7320508075688772</v>
      </c>
      <c r="AA161" s="2">
        <f t="shared" si="23"/>
        <v>1.4142135623730951</v>
      </c>
      <c r="AB161" s="2">
        <v>1.7321</v>
      </c>
      <c r="AC161" s="2">
        <v>1</v>
      </c>
      <c r="AD161" s="2">
        <v>0</v>
      </c>
      <c r="AE161" s="2">
        <v>0</v>
      </c>
      <c r="AF161" s="2">
        <v>0</v>
      </c>
      <c r="AG161" s="2">
        <v>1</v>
      </c>
    </row>
    <row r="162" spans="1:33" x14ac:dyDescent="0.3">
      <c r="A162" s="2" t="s">
        <v>35</v>
      </c>
      <c r="B162" s="2" t="s">
        <v>481</v>
      </c>
      <c r="C162" s="2" t="s">
        <v>74</v>
      </c>
      <c r="D162" s="2" t="s">
        <v>482</v>
      </c>
      <c r="E162" s="2">
        <v>1991</v>
      </c>
      <c r="F162" s="2">
        <v>656</v>
      </c>
      <c r="G162" s="2">
        <v>265</v>
      </c>
      <c r="H162" s="2">
        <v>153</v>
      </c>
      <c r="I162" s="2">
        <v>254</v>
      </c>
      <c r="J162" s="2">
        <v>311</v>
      </c>
      <c r="K162" s="2">
        <f t="shared" ca="1" si="16"/>
        <v>35</v>
      </c>
      <c r="L162" s="2">
        <v>65</v>
      </c>
      <c r="M162" s="2">
        <v>255</v>
      </c>
      <c r="N162" s="2">
        <v>16495</v>
      </c>
      <c r="O162" s="2">
        <f t="shared" ca="1" si="17"/>
        <v>1.8571428571428572</v>
      </c>
      <c r="P162" s="2">
        <f t="shared" ca="1" si="18"/>
        <v>29.856271777003485</v>
      </c>
      <c r="Q162" s="2">
        <v>34.4054</v>
      </c>
      <c r="R162" s="2">
        <f t="shared" si="19"/>
        <v>34.81789634146341</v>
      </c>
      <c r="S162" s="2">
        <v>65</v>
      </c>
      <c r="T162" s="2">
        <v>110</v>
      </c>
      <c r="U162" s="2">
        <v>150.33850000000001</v>
      </c>
      <c r="V162" s="2">
        <f t="shared" si="20"/>
        <v>98.853439495042352</v>
      </c>
      <c r="W162" s="2">
        <v>13</v>
      </c>
      <c r="X162" s="2">
        <f t="shared" si="21"/>
        <v>84.557672626438816</v>
      </c>
      <c r="Y162" s="2">
        <v>110</v>
      </c>
      <c r="Z162" s="2">
        <f t="shared" si="22"/>
        <v>84.557672626438816</v>
      </c>
      <c r="AA162" s="2">
        <f t="shared" si="23"/>
        <v>74.478201508897897</v>
      </c>
      <c r="AB162" s="2">
        <v>463.80709999999999</v>
      </c>
      <c r="AC162" s="2">
        <v>56</v>
      </c>
      <c r="AD162" s="2">
        <v>7</v>
      </c>
      <c r="AE162" s="2">
        <v>12</v>
      </c>
      <c r="AF162" s="2">
        <v>36</v>
      </c>
      <c r="AG162" s="2">
        <v>54</v>
      </c>
    </row>
    <row r="163" spans="1:33" x14ac:dyDescent="0.3">
      <c r="A163" s="2" t="s">
        <v>35</v>
      </c>
      <c r="B163" s="2" t="s">
        <v>484</v>
      </c>
      <c r="C163" s="2" t="s">
        <v>43</v>
      </c>
      <c r="D163" s="2" t="s">
        <v>485</v>
      </c>
      <c r="E163" s="2">
        <v>2008</v>
      </c>
      <c r="F163" s="2">
        <v>51</v>
      </c>
      <c r="G163" s="2">
        <v>0</v>
      </c>
      <c r="H163" s="2">
        <v>41</v>
      </c>
      <c r="I163" s="2">
        <v>41</v>
      </c>
      <c r="J163" s="2">
        <v>41</v>
      </c>
      <c r="K163" s="2">
        <f t="shared" ca="1" si="16"/>
        <v>18</v>
      </c>
      <c r="L163" s="2">
        <v>4</v>
      </c>
      <c r="M163" s="2">
        <v>1</v>
      </c>
      <c r="N163" s="2">
        <v>70</v>
      </c>
      <c r="O163" s="2">
        <f t="shared" ca="1" si="17"/>
        <v>0.22222222222222221</v>
      </c>
      <c r="P163" s="2">
        <f t="shared" ca="1" si="18"/>
        <v>48.474945533769059</v>
      </c>
      <c r="Q163" s="2">
        <v>2.2435</v>
      </c>
      <c r="R163" s="2">
        <f t="shared" si="19"/>
        <v>52.438235294117646</v>
      </c>
      <c r="S163" s="2">
        <v>4</v>
      </c>
      <c r="T163" s="2">
        <v>8</v>
      </c>
      <c r="U163" s="2">
        <v>15</v>
      </c>
      <c r="V163" s="2">
        <f t="shared" si="20"/>
        <v>7.745966692414834</v>
      </c>
      <c r="W163" s="2">
        <v>2</v>
      </c>
      <c r="X163" s="2">
        <f t="shared" si="21"/>
        <v>5.6568542494923806</v>
      </c>
      <c r="Y163" s="2">
        <v>8</v>
      </c>
      <c r="Z163" s="2">
        <f t="shared" si="22"/>
        <v>5.6568542494923806</v>
      </c>
      <c r="AA163" s="2">
        <f t="shared" si="23"/>
        <v>6.6332495807107996</v>
      </c>
      <c r="AB163" s="2">
        <v>10.099500000000001</v>
      </c>
      <c r="AC163" s="2">
        <v>4</v>
      </c>
      <c r="AD163" s="2">
        <v>0</v>
      </c>
      <c r="AE163" s="2">
        <v>2</v>
      </c>
      <c r="AF163" s="2">
        <v>0</v>
      </c>
      <c r="AG163" s="2">
        <v>4</v>
      </c>
    </row>
    <row r="164" spans="1:33" x14ac:dyDescent="0.3">
      <c r="A164" s="2" t="s">
        <v>35</v>
      </c>
      <c r="B164" s="2" t="s">
        <v>487</v>
      </c>
      <c r="C164" s="2" t="s">
        <v>109</v>
      </c>
      <c r="D164" s="2" t="s">
        <v>488</v>
      </c>
      <c r="E164" s="2">
        <v>2004</v>
      </c>
      <c r="F164" s="2">
        <v>422</v>
      </c>
      <c r="G164" s="2">
        <v>100</v>
      </c>
      <c r="H164" s="2">
        <v>101</v>
      </c>
      <c r="I164" s="2">
        <v>118</v>
      </c>
      <c r="J164" s="2">
        <v>173</v>
      </c>
      <c r="K164" s="2">
        <f t="shared" ca="1" si="16"/>
        <v>22</v>
      </c>
      <c r="L164" s="2">
        <v>43</v>
      </c>
      <c r="M164" s="2">
        <v>139</v>
      </c>
      <c r="N164" s="2">
        <v>6121</v>
      </c>
      <c r="O164" s="2">
        <f t="shared" ca="1" si="17"/>
        <v>1.9545454545454546</v>
      </c>
      <c r="P164" s="2">
        <f t="shared" ca="1" si="18"/>
        <v>28.780697975010771</v>
      </c>
      <c r="Q164" s="2">
        <v>24.749300000000002</v>
      </c>
      <c r="R164" s="2">
        <f t="shared" si="19"/>
        <v>34.182298578199052</v>
      </c>
      <c r="S164" s="2">
        <v>43</v>
      </c>
      <c r="T164" s="2">
        <v>63</v>
      </c>
      <c r="U164" s="2">
        <v>75.767399999999995</v>
      </c>
      <c r="V164" s="2">
        <f t="shared" si="20"/>
        <v>57.078877003669227</v>
      </c>
      <c r="W164" s="2">
        <v>10</v>
      </c>
      <c r="X164" s="2">
        <f t="shared" si="21"/>
        <v>52.04805471869242</v>
      </c>
      <c r="Y164" s="2">
        <v>61</v>
      </c>
      <c r="Z164" s="2">
        <f t="shared" si="22"/>
        <v>51.215232109207513</v>
      </c>
      <c r="AA164" s="2">
        <f t="shared" si="23"/>
        <v>37.53662478167157</v>
      </c>
      <c r="AB164" s="2">
        <v>235.22970000000001</v>
      </c>
      <c r="AC164" s="2">
        <v>35</v>
      </c>
      <c r="AD164" s="2">
        <v>10</v>
      </c>
      <c r="AE164" s="2">
        <v>12</v>
      </c>
      <c r="AF164" s="2">
        <v>28</v>
      </c>
      <c r="AG164" s="2">
        <v>33</v>
      </c>
    </row>
    <row r="165" spans="1:33" x14ac:dyDescent="0.3">
      <c r="A165" s="2" t="s">
        <v>35</v>
      </c>
      <c r="B165" s="2" t="s">
        <v>1100</v>
      </c>
      <c r="C165" s="2" t="s">
        <v>43</v>
      </c>
      <c r="D165" s="2" t="s">
        <v>1101</v>
      </c>
      <c r="E165" s="2">
        <v>2016</v>
      </c>
      <c r="F165" s="2">
        <v>8</v>
      </c>
      <c r="G165" s="2">
        <v>0</v>
      </c>
      <c r="H165" s="2">
        <v>8</v>
      </c>
      <c r="I165" s="2">
        <v>8</v>
      </c>
      <c r="J165" s="2">
        <v>8</v>
      </c>
      <c r="K165" s="2">
        <f t="shared" ca="1" si="16"/>
        <v>10</v>
      </c>
      <c r="L165" s="2">
        <v>0</v>
      </c>
      <c r="M165" s="2">
        <v>0</v>
      </c>
      <c r="N165" s="2">
        <v>0</v>
      </c>
      <c r="O165" s="2">
        <f t="shared" ca="1" si="17"/>
        <v>0</v>
      </c>
      <c r="P165" s="2">
        <f t="shared" ca="1" si="18"/>
        <v>50</v>
      </c>
      <c r="Q165" s="2">
        <v>0</v>
      </c>
      <c r="R165" s="2">
        <f t="shared" si="19"/>
        <v>50</v>
      </c>
      <c r="S165" s="2">
        <v>0</v>
      </c>
      <c r="T165" s="2">
        <v>0</v>
      </c>
      <c r="U165" s="2">
        <v>0</v>
      </c>
      <c r="V165" s="2">
        <f t="shared" si="20"/>
        <v>0</v>
      </c>
      <c r="W165" s="2">
        <v>0</v>
      </c>
      <c r="X165" s="2">
        <f t="shared" si="21"/>
        <v>0</v>
      </c>
      <c r="Y165" s="2">
        <v>0</v>
      </c>
      <c r="Z165" s="2">
        <f t="shared" si="22"/>
        <v>0</v>
      </c>
      <c r="AA165" s="2">
        <f t="shared" si="23"/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 x14ac:dyDescent="0.3">
      <c r="A166" s="2" t="s">
        <v>35</v>
      </c>
      <c r="B166" s="2" t="s">
        <v>490</v>
      </c>
      <c r="C166" s="2" t="s">
        <v>67</v>
      </c>
      <c r="D166" s="2" t="s">
        <v>491</v>
      </c>
      <c r="E166" s="2">
        <v>2007</v>
      </c>
      <c r="F166" s="2">
        <v>70</v>
      </c>
      <c r="G166" s="2">
        <v>48</v>
      </c>
      <c r="H166" s="2">
        <v>11</v>
      </c>
      <c r="I166" s="2">
        <v>16</v>
      </c>
      <c r="J166" s="2">
        <v>25</v>
      </c>
      <c r="K166" s="2">
        <f t="shared" ca="1" si="16"/>
        <v>19</v>
      </c>
      <c r="L166" s="2">
        <v>22</v>
      </c>
      <c r="M166" s="2">
        <v>42</v>
      </c>
      <c r="N166" s="2">
        <v>1217</v>
      </c>
      <c r="O166" s="2">
        <f t="shared" ca="1" si="17"/>
        <v>1.1578947368421053</v>
      </c>
      <c r="P166" s="2">
        <f t="shared" ca="1" si="18"/>
        <v>44.082706766917298</v>
      </c>
      <c r="Q166" s="2">
        <v>7.7869999999999999</v>
      </c>
      <c r="R166" s="2">
        <f t="shared" si="19"/>
        <v>53.55285714285715</v>
      </c>
      <c r="S166" s="2">
        <v>22</v>
      </c>
      <c r="T166" s="2">
        <v>32</v>
      </c>
      <c r="U166" s="2">
        <v>39.954500000000003</v>
      </c>
      <c r="V166" s="2">
        <f t="shared" si="20"/>
        <v>29.647917296160959</v>
      </c>
      <c r="W166" s="2">
        <v>6</v>
      </c>
      <c r="X166" s="2">
        <f t="shared" si="21"/>
        <v>26.532998322843198</v>
      </c>
      <c r="Y166" s="2">
        <v>33</v>
      </c>
      <c r="Z166" s="2">
        <f t="shared" si="22"/>
        <v>26.944387170614959</v>
      </c>
      <c r="AA166" s="2">
        <f t="shared" si="23"/>
        <v>19.874581756605597</v>
      </c>
      <c r="AB166" s="2">
        <v>90.144300000000001</v>
      </c>
      <c r="AC166" s="2">
        <v>12</v>
      </c>
      <c r="AD166" s="2">
        <v>6</v>
      </c>
      <c r="AE166" s="2">
        <v>0</v>
      </c>
      <c r="AF166" s="2">
        <v>18</v>
      </c>
      <c r="AG166" s="2">
        <v>8</v>
      </c>
    </row>
    <row r="167" spans="1:33" x14ac:dyDescent="0.3">
      <c r="A167" s="2" t="s">
        <v>35</v>
      </c>
      <c r="B167" s="2" t="s">
        <v>493</v>
      </c>
      <c r="C167" s="2" t="s">
        <v>51</v>
      </c>
      <c r="D167" s="2" t="s">
        <v>494</v>
      </c>
      <c r="E167" s="2">
        <v>1980</v>
      </c>
      <c r="F167" s="2">
        <v>643</v>
      </c>
      <c r="G167" s="2">
        <v>201</v>
      </c>
      <c r="H167" s="2">
        <v>195</v>
      </c>
      <c r="I167" s="2">
        <v>117</v>
      </c>
      <c r="J167" s="2">
        <v>205</v>
      </c>
      <c r="K167" s="2">
        <f t="shared" ca="1" si="16"/>
        <v>46</v>
      </c>
      <c r="L167" s="2">
        <v>59</v>
      </c>
      <c r="M167" s="2">
        <v>253</v>
      </c>
      <c r="N167" s="2">
        <v>29957</v>
      </c>
      <c r="O167" s="2">
        <f t="shared" ca="1" si="17"/>
        <v>1.2826086956521738</v>
      </c>
      <c r="P167" s="2">
        <f t="shared" ca="1" si="18"/>
        <v>22.190141321252284</v>
      </c>
      <c r="Q167" s="2">
        <v>83.472300000000004</v>
      </c>
      <c r="R167" s="2">
        <f t="shared" si="19"/>
        <v>34.97236391912908</v>
      </c>
      <c r="S167" s="2">
        <v>59</v>
      </c>
      <c r="T167" s="2">
        <v>167</v>
      </c>
      <c r="U167" s="2">
        <v>415.37290000000002</v>
      </c>
      <c r="V167" s="2">
        <f t="shared" si="20"/>
        <v>156.5471210211162</v>
      </c>
      <c r="W167" s="2">
        <v>17</v>
      </c>
      <c r="X167" s="2">
        <f t="shared" si="21"/>
        <v>99.262278837431495</v>
      </c>
      <c r="Y167" s="2">
        <v>107</v>
      </c>
      <c r="Z167" s="2">
        <f t="shared" si="22"/>
        <v>79.454389431925037</v>
      </c>
      <c r="AA167" s="2">
        <f t="shared" si="23"/>
        <v>145.00345202787415</v>
      </c>
      <c r="AB167" s="2">
        <v>505.44040000000001</v>
      </c>
      <c r="AC167" s="2">
        <v>40</v>
      </c>
      <c r="AD167" s="2">
        <v>19</v>
      </c>
      <c r="AE167" s="2">
        <v>30</v>
      </c>
      <c r="AF167" s="2">
        <v>41</v>
      </c>
      <c r="AG167" s="2">
        <v>21</v>
      </c>
    </row>
    <row r="168" spans="1:33" x14ac:dyDescent="0.3">
      <c r="A168" s="2" t="s">
        <v>35</v>
      </c>
      <c r="B168" s="2" t="s">
        <v>496</v>
      </c>
      <c r="C168" s="2" t="s">
        <v>91</v>
      </c>
      <c r="D168" s="2" t="s">
        <v>497</v>
      </c>
      <c r="E168" s="2">
        <v>1970</v>
      </c>
      <c r="F168" s="2">
        <v>261</v>
      </c>
      <c r="G168" s="2">
        <v>17</v>
      </c>
      <c r="H168" s="2">
        <v>42</v>
      </c>
      <c r="I168" s="2">
        <v>83</v>
      </c>
      <c r="J168" s="2">
        <v>100</v>
      </c>
      <c r="K168" s="2">
        <f t="shared" ca="1" si="16"/>
        <v>56</v>
      </c>
      <c r="L168" s="2">
        <v>58</v>
      </c>
      <c r="M168" s="2">
        <v>133</v>
      </c>
      <c r="N168" s="2">
        <v>9404</v>
      </c>
      <c r="O168" s="2">
        <f t="shared" ca="1" si="17"/>
        <v>1.0357142857142858</v>
      </c>
      <c r="P168" s="2">
        <f t="shared" ca="1" si="18"/>
        <v>41.124794745484401</v>
      </c>
      <c r="Q168" s="2">
        <v>28.811499999999999</v>
      </c>
      <c r="R168" s="2">
        <f t="shared" si="19"/>
        <v>51.766858237547901</v>
      </c>
      <c r="S168" s="2">
        <v>58</v>
      </c>
      <c r="T168" s="2">
        <v>91</v>
      </c>
      <c r="U168" s="2">
        <v>119.5172</v>
      </c>
      <c r="V168" s="2">
        <f t="shared" si="20"/>
        <v>83.258618773073579</v>
      </c>
      <c r="W168" s="2">
        <v>12</v>
      </c>
      <c r="X168" s="2">
        <f t="shared" si="21"/>
        <v>72.649845147804683</v>
      </c>
      <c r="Y168" s="2">
        <v>94.5</v>
      </c>
      <c r="Z168" s="2">
        <f t="shared" si="22"/>
        <v>74.033776075518389</v>
      </c>
      <c r="AA168" s="2">
        <f t="shared" si="23"/>
        <v>59.732718002783038</v>
      </c>
      <c r="AB168" s="2">
        <v>384.2278</v>
      </c>
      <c r="AC168" s="2">
        <v>40</v>
      </c>
      <c r="AD168" s="2">
        <v>4</v>
      </c>
      <c r="AE168" s="2">
        <v>20</v>
      </c>
      <c r="AF168" s="2">
        <v>34</v>
      </c>
      <c r="AG168" s="2">
        <v>31</v>
      </c>
    </row>
    <row r="169" spans="1:33" x14ac:dyDescent="0.3">
      <c r="A169" s="2" t="s">
        <v>35</v>
      </c>
      <c r="B169" s="2" t="s">
        <v>499</v>
      </c>
      <c r="C169" s="2" t="s">
        <v>43</v>
      </c>
      <c r="D169" s="2" t="s">
        <v>500</v>
      </c>
      <c r="E169" s="2">
        <v>2012</v>
      </c>
      <c r="F169" s="2">
        <v>126</v>
      </c>
      <c r="G169" s="2">
        <v>0</v>
      </c>
      <c r="H169" s="2">
        <v>72</v>
      </c>
      <c r="I169" s="2">
        <v>82</v>
      </c>
      <c r="J169" s="2">
        <v>84</v>
      </c>
      <c r="K169" s="2">
        <f t="shared" ca="1" si="16"/>
        <v>14</v>
      </c>
      <c r="L169" s="2">
        <v>7</v>
      </c>
      <c r="M169" s="2">
        <v>4</v>
      </c>
      <c r="N169" s="2">
        <v>207</v>
      </c>
      <c r="O169" s="2">
        <f t="shared" ca="1" si="17"/>
        <v>0.5</v>
      </c>
      <c r="P169" s="2">
        <f t="shared" ca="1" si="18"/>
        <v>39.285714285714285</v>
      </c>
      <c r="Q169" s="2">
        <v>3.5897000000000001</v>
      </c>
      <c r="R169" s="2">
        <f t="shared" si="19"/>
        <v>41.737857142857138</v>
      </c>
      <c r="S169" s="2">
        <v>7</v>
      </c>
      <c r="T169" s="2">
        <v>11</v>
      </c>
      <c r="U169" s="2">
        <v>14.7143</v>
      </c>
      <c r="V169" s="2">
        <f t="shared" si="20"/>
        <v>10.148896491737414</v>
      </c>
      <c r="W169" s="2">
        <v>3</v>
      </c>
      <c r="X169" s="2">
        <f t="shared" si="21"/>
        <v>8.7749643873921226</v>
      </c>
      <c r="Y169" s="2">
        <v>10</v>
      </c>
      <c r="Z169" s="2">
        <f t="shared" si="22"/>
        <v>8.3666002653407556</v>
      </c>
      <c r="AA169" s="2">
        <f t="shared" si="23"/>
        <v>7.3484760324845588</v>
      </c>
      <c r="AB169" s="2">
        <v>17.663499999999999</v>
      </c>
      <c r="AC169" s="2">
        <v>7</v>
      </c>
      <c r="AD169" s="2">
        <v>2</v>
      </c>
      <c r="AE169" s="2">
        <v>2</v>
      </c>
      <c r="AF169" s="2">
        <v>0</v>
      </c>
      <c r="AG169" s="2">
        <v>7</v>
      </c>
    </row>
    <row r="170" spans="1:33" x14ac:dyDescent="0.3">
      <c r="A170" s="2" t="s">
        <v>35</v>
      </c>
      <c r="B170" s="2" t="s">
        <v>502</v>
      </c>
      <c r="C170" s="2" t="s">
        <v>43</v>
      </c>
      <c r="D170" s="2" t="s">
        <v>503</v>
      </c>
      <c r="E170" s="2">
        <v>2021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f t="shared" ca="1" si="16"/>
        <v>5</v>
      </c>
      <c r="L170" s="2">
        <v>1</v>
      </c>
      <c r="M170" s="2">
        <v>0</v>
      </c>
      <c r="N170" s="2">
        <v>9</v>
      </c>
      <c r="O170" s="2">
        <f t="shared" ca="1" si="17"/>
        <v>0.2</v>
      </c>
      <c r="P170" s="2">
        <f t="shared" ca="1" si="18"/>
        <v>120</v>
      </c>
      <c r="Q170" s="2">
        <v>1.2246999999999999</v>
      </c>
      <c r="R170" s="2">
        <f t="shared" si="19"/>
        <v>222.47</v>
      </c>
      <c r="S170" s="2">
        <v>1</v>
      </c>
      <c r="T170" s="2">
        <v>1</v>
      </c>
      <c r="U170" s="2">
        <v>9</v>
      </c>
      <c r="V170" s="2">
        <f t="shared" si="20"/>
        <v>3</v>
      </c>
      <c r="W170" s="2">
        <v>1</v>
      </c>
      <c r="X170" s="2">
        <f t="shared" si="21"/>
        <v>1</v>
      </c>
      <c r="Y170" s="2">
        <v>9</v>
      </c>
      <c r="Z170" s="2">
        <f t="shared" si="22"/>
        <v>3</v>
      </c>
      <c r="AA170" s="2">
        <f t="shared" si="23"/>
        <v>2.8284271247461903</v>
      </c>
      <c r="AB170" s="2">
        <v>3</v>
      </c>
      <c r="AC170" s="2">
        <v>1</v>
      </c>
      <c r="AD170" s="2">
        <v>0</v>
      </c>
      <c r="AE170" s="2">
        <v>0</v>
      </c>
      <c r="AF170" s="2">
        <v>1</v>
      </c>
      <c r="AG170" s="2">
        <v>0</v>
      </c>
    </row>
    <row r="171" spans="1:33" x14ac:dyDescent="0.3">
      <c r="A171" s="2" t="s">
        <v>35</v>
      </c>
      <c r="B171" s="2" t="s">
        <v>505</v>
      </c>
      <c r="C171" s="2" t="s">
        <v>187</v>
      </c>
      <c r="D171" s="2" t="s">
        <v>506</v>
      </c>
      <c r="E171" s="2">
        <v>1996</v>
      </c>
      <c r="F171" s="2">
        <v>102</v>
      </c>
      <c r="G171" s="2">
        <v>43</v>
      </c>
      <c r="H171" s="2">
        <v>7</v>
      </c>
      <c r="I171" s="2">
        <v>2</v>
      </c>
      <c r="J171" s="2">
        <v>7</v>
      </c>
      <c r="K171" s="2">
        <f t="shared" ca="1" si="16"/>
        <v>30</v>
      </c>
      <c r="L171" s="2">
        <v>26</v>
      </c>
      <c r="M171" s="2">
        <v>47</v>
      </c>
      <c r="N171" s="2">
        <v>2862</v>
      </c>
      <c r="O171" s="2">
        <f t="shared" ca="1" si="17"/>
        <v>0.8666666666666667</v>
      </c>
      <c r="P171" s="2">
        <f t="shared" ca="1" si="18"/>
        <v>25.555555555555554</v>
      </c>
      <c r="Q171" s="2">
        <v>14.002700000000001</v>
      </c>
      <c r="R171" s="2">
        <f t="shared" si="19"/>
        <v>38.434019607843133</v>
      </c>
      <c r="S171" s="2">
        <v>26</v>
      </c>
      <c r="T171" s="2">
        <v>52</v>
      </c>
      <c r="U171" s="2">
        <v>94.192300000000003</v>
      </c>
      <c r="V171" s="2">
        <f t="shared" si="20"/>
        <v>49.487370105916924</v>
      </c>
      <c r="W171" s="2">
        <v>10</v>
      </c>
      <c r="X171" s="2">
        <f t="shared" si="21"/>
        <v>36.76955262170047</v>
      </c>
      <c r="Y171" s="2">
        <v>64.5</v>
      </c>
      <c r="Z171" s="2">
        <f t="shared" si="22"/>
        <v>40.951190458886543</v>
      </c>
      <c r="AA171" s="2">
        <f t="shared" si="23"/>
        <v>42.107004167952866</v>
      </c>
      <c r="AB171" s="2">
        <v>144.22900000000001</v>
      </c>
      <c r="AC171" s="2">
        <v>17</v>
      </c>
      <c r="AD171" s="2">
        <v>3</v>
      </c>
      <c r="AE171" s="2">
        <v>15</v>
      </c>
      <c r="AF171" s="2">
        <v>15</v>
      </c>
      <c r="AG171" s="2">
        <v>1</v>
      </c>
    </row>
    <row r="172" spans="1:33" x14ac:dyDescent="0.3">
      <c r="A172" s="2" t="s">
        <v>35</v>
      </c>
      <c r="B172" s="2" t="s">
        <v>508</v>
      </c>
      <c r="C172" s="2" t="s">
        <v>74</v>
      </c>
      <c r="D172" s="2" t="s">
        <v>509</v>
      </c>
      <c r="E172" s="2">
        <v>2006</v>
      </c>
      <c r="F172" s="2">
        <v>67</v>
      </c>
      <c r="G172" s="2">
        <v>6</v>
      </c>
      <c r="H172" s="2">
        <v>6</v>
      </c>
      <c r="I172" s="2">
        <v>10</v>
      </c>
      <c r="J172" s="2">
        <v>11</v>
      </c>
      <c r="K172" s="2">
        <f t="shared" ca="1" si="16"/>
        <v>20</v>
      </c>
      <c r="L172" s="2">
        <v>18</v>
      </c>
      <c r="M172" s="2">
        <v>22</v>
      </c>
      <c r="N172" s="2">
        <v>1138</v>
      </c>
      <c r="O172" s="2">
        <f t="shared" ca="1" si="17"/>
        <v>0.9</v>
      </c>
      <c r="P172" s="2">
        <f t="shared" ca="1" si="18"/>
        <v>35.522388059701491</v>
      </c>
      <c r="Q172" s="2">
        <v>10.9413</v>
      </c>
      <c r="R172" s="2">
        <f t="shared" si="19"/>
        <v>50.509402985074622</v>
      </c>
      <c r="S172" s="2">
        <v>18</v>
      </c>
      <c r="T172" s="2">
        <v>33</v>
      </c>
      <c r="U172" s="2">
        <v>54.055599999999998</v>
      </c>
      <c r="V172" s="2">
        <f t="shared" si="20"/>
        <v>31.192960744373082</v>
      </c>
      <c r="W172" s="2">
        <v>7</v>
      </c>
      <c r="X172" s="2">
        <f t="shared" si="21"/>
        <v>24.372115213907882</v>
      </c>
      <c r="Y172" s="2">
        <v>43</v>
      </c>
      <c r="Z172" s="2">
        <f t="shared" si="22"/>
        <v>27.820855486487112</v>
      </c>
      <c r="AA172" s="2">
        <f t="shared" si="23"/>
        <v>25.475494107082596</v>
      </c>
      <c r="AB172" s="2">
        <v>78.924000000000007</v>
      </c>
      <c r="AC172" s="2">
        <v>11</v>
      </c>
      <c r="AD172" s="2">
        <v>1</v>
      </c>
      <c r="AE172" s="2">
        <v>8</v>
      </c>
      <c r="AF172" s="2">
        <v>11</v>
      </c>
      <c r="AG172" s="2">
        <v>5</v>
      </c>
    </row>
    <row r="173" spans="1:33" x14ac:dyDescent="0.3">
      <c r="A173" s="2" t="s">
        <v>35</v>
      </c>
      <c r="B173" s="2" t="s">
        <v>1102</v>
      </c>
      <c r="C173" s="2" t="s">
        <v>240</v>
      </c>
      <c r="D173" s="2" t="s">
        <v>1103</v>
      </c>
      <c r="E173" s="2">
        <v>2026</v>
      </c>
      <c r="F173" s="2">
        <v>2</v>
      </c>
      <c r="G173" s="2">
        <v>0</v>
      </c>
      <c r="H173" s="2">
        <v>2</v>
      </c>
      <c r="I173" s="2">
        <v>2</v>
      </c>
      <c r="J173" s="2">
        <v>2</v>
      </c>
      <c r="K173" s="2">
        <f t="shared" ca="1" si="16"/>
        <v>1</v>
      </c>
      <c r="L173" s="2">
        <v>0</v>
      </c>
      <c r="M173" s="2">
        <v>0</v>
      </c>
      <c r="N173" s="2">
        <v>0</v>
      </c>
      <c r="O173" s="2">
        <f t="shared" ca="1" si="17"/>
        <v>0</v>
      </c>
      <c r="P173" s="2">
        <f t="shared" ca="1" si="18"/>
        <v>50</v>
      </c>
      <c r="Q173" s="2">
        <v>0</v>
      </c>
      <c r="R173" s="2">
        <f t="shared" si="19"/>
        <v>50</v>
      </c>
      <c r="S173" s="2">
        <v>0</v>
      </c>
      <c r="T173" s="2">
        <v>0</v>
      </c>
      <c r="U173" s="2">
        <v>0</v>
      </c>
      <c r="V173" s="2">
        <f t="shared" si="20"/>
        <v>0</v>
      </c>
      <c r="W173" s="2">
        <v>0</v>
      </c>
      <c r="X173" s="2">
        <f t="shared" si="21"/>
        <v>0</v>
      </c>
      <c r="Y173" s="2">
        <v>0</v>
      </c>
      <c r="Z173" s="2">
        <f t="shared" si="22"/>
        <v>0</v>
      </c>
      <c r="AA173" s="2">
        <f t="shared" si="23"/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 x14ac:dyDescent="0.3">
      <c r="A174" s="2" t="s">
        <v>35</v>
      </c>
      <c r="B174" s="2" t="s">
        <v>1104</v>
      </c>
      <c r="C174" s="2" t="s">
        <v>91</v>
      </c>
      <c r="D174" s="2" t="s">
        <v>1105</v>
      </c>
      <c r="E174" s="2">
        <v>2002</v>
      </c>
      <c r="F174" s="2">
        <v>3</v>
      </c>
      <c r="G174" s="2">
        <v>1</v>
      </c>
      <c r="H174" s="2">
        <v>2</v>
      </c>
      <c r="I174" s="2">
        <v>2</v>
      </c>
      <c r="J174" s="2">
        <v>2</v>
      </c>
      <c r="K174" s="2">
        <f t="shared" ca="1" si="16"/>
        <v>24</v>
      </c>
      <c r="L174" s="2">
        <v>0</v>
      </c>
      <c r="M174" s="2">
        <v>0</v>
      </c>
      <c r="N174" s="2">
        <v>0</v>
      </c>
      <c r="O174" s="2">
        <f t="shared" ca="1" si="17"/>
        <v>0</v>
      </c>
      <c r="P174" s="2">
        <f t="shared" ca="1" si="18"/>
        <v>30.000000000000004</v>
      </c>
      <c r="Q174" s="2">
        <v>0</v>
      </c>
      <c r="R174" s="2">
        <f t="shared" si="19"/>
        <v>30.000000000000004</v>
      </c>
      <c r="S174" s="2">
        <v>0</v>
      </c>
      <c r="T174" s="2">
        <v>0</v>
      </c>
      <c r="U174" s="2">
        <v>0</v>
      </c>
      <c r="V174" s="2">
        <f t="shared" si="20"/>
        <v>0</v>
      </c>
      <c r="W174" s="2">
        <v>0</v>
      </c>
      <c r="X174" s="2">
        <f t="shared" si="21"/>
        <v>0</v>
      </c>
      <c r="Y174" s="2">
        <v>0</v>
      </c>
      <c r="Z174" s="2">
        <f t="shared" si="22"/>
        <v>0</v>
      </c>
      <c r="AA174" s="2">
        <f t="shared" si="23"/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 x14ac:dyDescent="0.3">
      <c r="A175" s="2" t="s">
        <v>35</v>
      </c>
      <c r="B175" s="2" t="s">
        <v>511</v>
      </c>
      <c r="C175" s="2" t="s">
        <v>43</v>
      </c>
      <c r="D175" s="2" t="s">
        <v>512</v>
      </c>
      <c r="E175" s="2">
        <v>2010</v>
      </c>
      <c r="F175" s="2">
        <v>8</v>
      </c>
      <c r="G175" s="2">
        <v>4</v>
      </c>
      <c r="H175" s="2">
        <v>3</v>
      </c>
      <c r="I175" s="2">
        <v>1</v>
      </c>
      <c r="J175" s="2">
        <v>3</v>
      </c>
      <c r="K175" s="2">
        <f t="shared" ca="1" si="16"/>
        <v>16</v>
      </c>
      <c r="L175" s="2">
        <v>2</v>
      </c>
      <c r="M175" s="2">
        <v>2</v>
      </c>
      <c r="N175" s="2">
        <v>40</v>
      </c>
      <c r="O175" s="2">
        <f t="shared" ca="1" si="17"/>
        <v>0.125</v>
      </c>
      <c r="P175" s="2">
        <f t="shared" ca="1" si="18"/>
        <v>40.3125</v>
      </c>
      <c r="Q175" s="2">
        <v>1.5324</v>
      </c>
      <c r="R175" s="2">
        <f t="shared" si="19"/>
        <v>57.905000000000008</v>
      </c>
      <c r="S175" s="2">
        <v>2</v>
      </c>
      <c r="T175" s="2">
        <v>6</v>
      </c>
      <c r="U175" s="2">
        <v>18</v>
      </c>
      <c r="V175" s="2">
        <f t="shared" si="20"/>
        <v>6</v>
      </c>
      <c r="W175" s="2">
        <v>2</v>
      </c>
      <c r="X175" s="2">
        <f t="shared" si="21"/>
        <v>3.4641016151377544</v>
      </c>
      <c r="Y175" s="2">
        <v>18</v>
      </c>
      <c r="Z175" s="2">
        <f t="shared" si="22"/>
        <v>6</v>
      </c>
      <c r="AA175" s="2">
        <f t="shared" si="23"/>
        <v>5.6568542494923806</v>
      </c>
      <c r="AB175" s="2">
        <v>6.8556999999999997</v>
      </c>
      <c r="AC175" s="2">
        <v>2</v>
      </c>
      <c r="AD175" s="2">
        <v>0</v>
      </c>
      <c r="AE175" s="2">
        <v>0</v>
      </c>
      <c r="AF175" s="2">
        <v>2</v>
      </c>
      <c r="AG175" s="2">
        <v>1</v>
      </c>
    </row>
    <row r="176" spans="1:33" x14ac:dyDescent="0.3">
      <c r="A176" s="2" t="s">
        <v>35</v>
      </c>
      <c r="B176" s="2" t="s">
        <v>514</v>
      </c>
      <c r="C176" s="2" t="s">
        <v>43</v>
      </c>
      <c r="D176" s="2" t="s">
        <v>515</v>
      </c>
      <c r="E176" s="2">
        <v>1967</v>
      </c>
      <c r="F176" s="2">
        <v>94</v>
      </c>
      <c r="G176" s="2">
        <v>3</v>
      </c>
      <c r="H176" s="2">
        <v>68</v>
      </c>
      <c r="I176" s="2">
        <v>41</v>
      </c>
      <c r="J176" s="2">
        <v>68</v>
      </c>
      <c r="K176" s="2">
        <f t="shared" ca="1" si="16"/>
        <v>59</v>
      </c>
      <c r="L176" s="2">
        <v>6</v>
      </c>
      <c r="M176" s="2">
        <v>5</v>
      </c>
      <c r="N176" s="2">
        <v>313</v>
      </c>
      <c r="O176" s="2">
        <f t="shared" ca="1" si="17"/>
        <v>0.10169491525423729</v>
      </c>
      <c r="P176" s="2">
        <f t="shared" ca="1" si="18"/>
        <v>42.342228633249192</v>
      </c>
      <c r="Q176" s="2">
        <v>4.8018999999999998</v>
      </c>
      <c r="R176" s="2">
        <f t="shared" si="19"/>
        <v>47.342446808510644</v>
      </c>
      <c r="S176" s="2">
        <v>6</v>
      </c>
      <c r="T176" s="2">
        <v>16</v>
      </c>
      <c r="U176" s="2">
        <v>38.5</v>
      </c>
      <c r="V176" s="2">
        <f t="shared" si="20"/>
        <v>15.198684153570664</v>
      </c>
      <c r="W176" s="2">
        <v>4</v>
      </c>
      <c r="X176" s="2">
        <f t="shared" si="21"/>
        <v>9.7979589711327115</v>
      </c>
      <c r="Y176" s="2">
        <v>30.5</v>
      </c>
      <c r="Z176" s="2">
        <f t="shared" si="22"/>
        <v>13.527749258468683</v>
      </c>
      <c r="AA176" s="2">
        <f t="shared" si="23"/>
        <v>13.964240043768941</v>
      </c>
      <c r="AB176" s="2">
        <v>23.790800000000001</v>
      </c>
      <c r="AC176" s="2">
        <v>6</v>
      </c>
      <c r="AD176" s="2">
        <v>2</v>
      </c>
      <c r="AE176" s="2">
        <v>3</v>
      </c>
      <c r="AF176" s="2">
        <v>4</v>
      </c>
      <c r="AG176" s="2">
        <v>5</v>
      </c>
    </row>
    <row r="177" spans="1:33" x14ac:dyDescent="0.3">
      <c r="A177" s="2" t="s">
        <v>35</v>
      </c>
      <c r="B177" s="2" t="s">
        <v>517</v>
      </c>
      <c r="C177" s="2" t="s">
        <v>55</v>
      </c>
      <c r="D177" s="2" t="s">
        <v>518</v>
      </c>
      <c r="E177" s="2">
        <v>2022</v>
      </c>
      <c r="F177" s="2">
        <v>6</v>
      </c>
      <c r="G177" s="2">
        <v>0</v>
      </c>
      <c r="H177" s="2">
        <v>5</v>
      </c>
      <c r="I177" s="2">
        <v>5</v>
      </c>
      <c r="J177" s="2">
        <v>5</v>
      </c>
      <c r="K177" s="2">
        <f t="shared" ca="1" si="16"/>
        <v>4</v>
      </c>
      <c r="L177" s="2">
        <v>1</v>
      </c>
      <c r="M177" s="2">
        <v>0</v>
      </c>
      <c r="N177" s="2">
        <v>1</v>
      </c>
      <c r="O177" s="2">
        <f t="shared" ca="1" si="17"/>
        <v>0.25</v>
      </c>
      <c r="P177" s="2">
        <f t="shared" ca="1" si="18"/>
        <v>62.500000000000007</v>
      </c>
      <c r="Q177" s="2">
        <v>0.5</v>
      </c>
      <c r="R177" s="2">
        <f t="shared" si="19"/>
        <v>66.666666666666671</v>
      </c>
      <c r="S177" s="2">
        <v>1</v>
      </c>
      <c r="T177" s="2">
        <v>1</v>
      </c>
      <c r="U177" s="2">
        <v>1</v>
      </c>
      <c r="V177" s="2">
        <f t="shared" si="20"/>
        <v>1</v>
      </c>
      <c r="W177" s="2">
        <v>1</v>
      </c>
      <c r="X177" s="2">
        <f t="shared" si="21"/>
        <v>1</v>
      </c>
      <c r="Y177" s="2">
        <v>1</v>
      </c>
      <c r="Z177" s="2">
        <f t="shared" si="22"/>
        <v>1</v>
      </c>
      <c r="AA177" s="2">
        <f t="shared" si="23"/>
        <v>0</v>
      </c>
      <c r="AB177" s="2">
        <v>1</v>
      </c>
      <c r="AC177" s="2">
        <v>1</v>
      </c>
      <c r="AD177" s="2">
        <v>0</v>
      </c>
      <c r="AE177" s="2">
        <v>0</v>
      </c>
      <c r="AF177" s="2">
        <v>0</v>
      </c>
      <c r="AG177" s="2">
        <v>1</v>
      </c>
    </row>
    <row r="178" spans="1:33" x14ac:dyDescent="0.3">
      <c r="A178" s="2" t="s">
        <v>35</v>
      </c>
      <c r="B178" s="2" t="s">
        <v>520</v>
      </c>
      <c r="C178" s="2" t="s">
        <v>99</v>
      </c>
      <c r="D178" s="2" t="s">
        <v>521</v>
      </c>
      <c r="E178" s="2">
        <v>2020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f t="shared" ca="1" si="16"/>
        <v>6</v>
      </c>
      <c r="L178" s="2">
        <v>1</v>
      </c>
      <c r="M178" s="2">
        <v>1</v>
      </c>
      <c r="N178" s="2">
        <v>45</v>
      </c>
      <c r="O178" s="2">
        <f t="shared" ca="1" si="17"/>
        <v>0.16666666666666666</v>
      </c>
      <c r="P178" s="2">
        <f t="shared" ca="1" si="18"/>
        <v>116.66666666666667</v>
      </c>
      <c r="Q178" s="2">
        <v>2.5354999999999999</v>
      </c>
      <c r="R178" s="2">
        <f t="shared" si="19"/>
        <v>353.55</v>
      </c>
      <c r="S178" s="2">
        <v>1</v>
      </c>
      <c r="T178" s="2">
        <v>1</v>
      </c>
      <c r="U178" s="2">
        <v>45</v>
      </c>
      <c r="V178" s="2">
        <f t="shared" si="20"/>
        <v>6.7082039324993694</v>
      </c>
      <c r="W178" s="2">
        <v>1</v>
      </c>
      <c r="X178" s="2">
        <f t="shared" si="21"/>
        <v>1</v>
      </c>
      <c r="Y178" s="2">
        <v>45</v>
      </c>
      <c r="Z178" s="2">
        <f t="shared" si="22"/>
        <v>6.7082039324993694</v>
      </c>
      <c r="AA178" s="2">
        <f t="shared" si="23"/>
        <v>6.6332495807107996</v>
      </c>
      <c r="AB178" s="2">
        <v>6.7081999999999997</v>
      </c>
      <c r="AC178" s="2">
        <v>1</v>
      </c>
      <c r="AD178" s="2">
        <v>0</v>
      </c>
      <c r="AE178" s="2">
        <v>0</v>
      </c>
      <c r="AF178" s="2">
        <v>1</v>
      </c>
      <c r="AG178" s="2">
        <v>0</v>
      </c>
    </row>
    <row r="179" spans="1:33" x14ac:dyDescent="0.3">
      <c r="A179" s="2" t="s">
        <v>35</v>
      </c>
      <c r="B179" s="2" t="s">
        <v>523</v>
      </c>
      <c r="C179" s="2" t="s">
        <v>150</v>
      </c>
      <c r="D179" s="2" t="s">
        <v>524</v>
      </c>
      <c r="E179" s="2">
        <v>1996</v>
      </c>
      <c r="F179" s="2">
        <v>136</v>
      </c>
      <c r="G179" s="2">
        <v>72</v>
      </c>
      <c r="H179" s="2">
        <v>17</v>
      </c>
      <c r="I179" s="2">
        <v>5</v>
      </c>
      <c r="J179" s="2">
        <v>20</v>
      </c>
      <c r="K179" s="2">
        <f t="shared" ca="1" si="16"/>
        <v>30</v>
      </c>
      <c r="L179" s="2">
        <v>24</v>
      </c>
      <c r="M179" s="2">
        <v>47</v>
      </c>
      <c r="N179" s="2">
        <v>1919</v>
      </c>
      <c r="O179" s="2">
        <f t="shared" ca="1" si="17"/>
        <v>0.8</v>
      </c>
      <c r="P179" s="2">
        <f t="shared" ca="1" si="18"/>
        <v>20.294117647058826</v>
      </c>
      <c r="Q179" s="2">
        <v>10.706099999999999</v>
      </c>
      <c r="R179" s="2">
        <f t="shared" si="19"/>
        <v>27.578014705882357</v>
      </c>
      <c r="S179" s="2">
        <v>24</v>
      </c>
      <c r="T179" s="2">
        <v>40</v>
      </c>
      <c r="U179" s="2">
        <v>57.291699999999999</v>
      </c>
      <c r="V179" s="2">
        <f t="shared" si="20"/>
        <v>37.081003222674546</v>
      </c>
      <c r="W179" s="2">
        <v>8</v>
      </c>
      <c r="X179" s="2">
        <f t="shared" si="21"/>
        <v>30.983866769659336</v>
      </c>
      <c r="Y179" s="2">
        <v>43.5</v>
      </c>
      <c r="Z179" s="2">
        <f t="shared" si="22"/>
        <v>32.310988842807021</v>
      </c>
      <c r="AA179" s="2">
        <f t="shared" si="23"/>
        <v>28.266602201184352</v>
      </c>
      <c r="AB179" s="2">
        <v>110.0772</v>
      </c>
      <c r="AC179" s="2">
        <v>15</v>
      </c>
      <c r="AD179" s="2">
        <v>6</v>
      </c>
      <c r="AE179" s="2">
        <v>11</v>
      </c>
      <c r="AF179" s="2">
        <v>17</v>
      </c>
      <c r="AG179" s="2">
        <v>2</v>
      </c>
    </row>
    <row r="180" spans="1:33" x14ac:dyDescent="0.3">
      <c r="A180" s="2" t="s">
        <v>35</v>
      </c>
      <c r="B180" s="2" t="s">
        <v>526</v>
      </c>
      <c r="C180" s="2" t="s">
        <v>91</v>
      </c>
      <c r="D180" s="2" t="s">
        <v>527</v>
      </c>
      <c r="E180" s="2">
        <v>2011</v>
      </c>
      <c r="F180" s="2">
        <v>21</v>
      </c>
      <c r="G180" s="2">
        <v>3</v>
      </c>
      <c r="H180" s="2">
        <v>11</v>
      </c>
      <c r="I180" s="2">
        <v>2</v>
      </c>
      <c r="J180" s="2">
        <v>11</v>
      </c>
      <c r="K180" s="2">
        <f t="shared" ca="1" si="16"/>
        <v>15</v>
      </c>
      <c r="L180" s="2">
        <v>9</v>
      </c>
      <c r="M180" s="2">
        <v>6</v>
      </c>
      <c r="N180" s="2">
        <v>168</v>
      </c>
      <c r="O180" s="2">
        <f t="shared" ca="1" si="17"/>
        <v>0.6</v>
      </c>
      <c r="P180" s="2">
        <f t="shared" ca="1" si="18"/>
        <v>70.476190476190467</v>
      </c>
      <c r="Q180" s="2">
        <v>3.5634000000000001</v>
      </c>
      <c r="R180" s="2">
        <f t="shared" si="19"/>
        <v>84.587619047619057</v>
      </c>
      <c r="S180" s="2">
        <v>9</v>
      </c>
      <c r="T180" s="2">
        <v>12</v>
      </c>
      <c r="U180" s="2">
        <v>16.333300000000001</v>
      </c>
      <c r="V180" s="2">
        <f t="shared" si="20"/>
        <v>12.124343281184347</v>
      </c>
      <c r="W180" s="2">
        <v>3</v>
      </c>
      <c r="X180" s="2">
        <f t="shared" si="21"/>
        <v>10.392304845413264</v>
      </c>
      <c r="Y180" s="2">
        <v>10</v>
      </c>
      <c r="Z180" s="2">
        <f t="shared" si="22"/>
        <v>9.4868329805051381</v>
      </c>
      <c r="AA180" s="2">
        <f t="shared" si="23"/>
        <v>8.1240199408913334</v>
      </c>
      <c r="AB180" s="2">
        <v>22.671600000000002</v>
      </c>
      <c r="AC180" s="2">
        <v>6</v>
      </c>
      <c r="AD180" s="2">
        <v>4</v>
      </c>
      <c r="AE180" s="2">
        <v>2</v>
      </c>
      <c r="AF180" s="2">
        <v>3</v>
      </c>
      <c r="AG180" s="2">
        <v>2</v>
      </c>
    </row>
    <row r="181" spans="1:33" x14ac:dyDescent="0.3">
      <c r="A181" s="2" t="s">
        <v>35</v>
      </c>
      <c r="B181" s="2" t="s">
        <v>529</v>
      </c>
      <c r="C181" s="2" t="s">
        <v>91</v>
      </c>
      <c r="D181" s="2" t="s">
        <v>530</v>
      </c>
      <c r="E181" s="2">
        <v>2015</v>
      </c>
      <c r="F181" s="2">
        <v>29</v>
      </c>
      <c r="G181" s="2">
        <v>12</v>
      </c>
      <c r="H181" s="2">
        <v>4</v>
      </c>
      <c r="I181" s="2">
        <v>3</v>
      </c>
      <c r="J181" s="2">
        <v>6</v>
      </c>
      <c r="K181" s="2">
        <f t="shared" ca="1" si="16"/>
        <v>11</v>
      </c>
      <c r="L181" s="2">
        <v>5</v>
      </c>
      <c r="M181" s="2">
        <v>2</v>
      </c>
      <c r="N181" s="2">
        <v>67</v>
      </c>
      <c r="O181" s="2">
        <f t="shared" ca="1" si="17"/>
        <v>0.45454545454545453</v>
      </c>
      <c r="P181" s="2">
        <f t="shared" ca="1" si="18"/>
        <v>25.01567398119122</v>
      </c>
      <c r="Q181" s="2">
        <v>4.0926999999999998</v>
      </c>
      <c r="R181" s="2">
        <f t="shared" si="19"/>
        <v>37.561034482758615</v>
      </c>
      <c r="S181" s="2">
        <v>5</v>
      </c>
      <c r="T181" s="2">
        <v>7</v>
      </c>
      <c r="U181" s="2">
        <v>10.4</v>
      </c>
      <c r="V181" s="2">
        <f t="shared" si="20"/>
        <v>7.2111025509279782</v>
      </c>
      <c r="W181" s="2">
        <v>2</v>
      </c>
      <c r="X181" s="2">
        <f t="shared" si="21"/>
        <v>5.9160797830996161</v>
      </c>
      <c r="Y181" s="2">
        <v>8</v>
      </c>
      <c r="Z181" s="2">
        <f t="shared" si="22"/>
        <v>6.324555320336759</v>
      </c>
      <c r="AA181" s="2">
        <f t="shared" si="23"/>
        <v>5.196152422706632</v>
      </c>
      <c r="AB181" s="2">
        <v>11.313700000000001</v>
      </c>
      <c r="AC181" s="2">
        <v>2</v>
      </c>
      <c r="AD181" s="2">
        <v>1</v>
      </c>
      <c r="AE181" s="2">
        <v>2</v>
      </c>
      <c r="AF181" s="2">
        <v>4</v>
      </c>
      <c r="AG181" s="2">
        <v>1</v>
      </c>
    </row>
    <row r="182" spans="1:33" x14ac:dyDescent="0.3">
      <c r="A182" s="2" t="s">
        <v>35</v>
      </c>
      <c r="B182" s="2" t="s">
        <v>532</v>
      </c>
      <c r="C182" s="2" t="s">
        <v>67</v>
      </c>
      <c r="D182" s="2" t="s">
        <v>533</v>
      </c>
      <c r="E182" s="2">
        <v>2026</v>
      </c>
      <c r="F182" s="2">
        <v>1</v>
      </c>
      <c r="G182" s="2">
        <v>1</v>
      </c>
      <c r="H182" s="2">
        <v>0</v>
      </c>
      <c r="I182" s="2">
        <v>0</v>
      </c>
      <c r="J182" s="2">
        <v>0</v>
      </c>
      <c r="K182" s="2">
        <f t="shared" ca="1" si="16"/>
        <v>1</v>
      </c>
      <c r="L182" s="2">
        <v>1</v>
      </c>
      <c r="M182" s="2">
        <v>0</v>
      </c>
      <c r="N182" s="2">
        <v>1</v>
      </c>
      <c r="O182" s="2">
        <f t="shared" ca="1" si="17"/>
        <v>1</v>
      </c>
      <c r="P182" s="2">
        <f t="shared" ca="1" si="18"/>
        <v>190</v>
      </c>
      <c r="Q182" s="2">
        <v>1</v>
      </c>
      <c r="R182" s="2">
        <f t="shared" si="19"/>
        <v>190</v>
      </c>
      <c r="S182" s="2">
        <v>1</v>
      </c>
      <c r="T182" s="2">
        <v>1</v>
      </c>
      <c r="U182" s="2">
        <v>1</v>
      </c>
      <c r="V182" s="2">
        <f t="shared" si="20"/>
        <v>1</v>
      </c>
      <c r="W182" s="2">
        <v>1</v>
      </c>
      <c r="X182" s="2">
        <f t="shared" si="21"/>
        <v>1</v>
      </c>
      <c r="Y182" s="2">
        <v>1</v>
      </c>
      <c r="Z182" s="2">
        <f t="shared" si="22"/>
        <v>1</v>
      </c>
      <c r="AA182" s="2">
        <f t="shared" si="23"/>
        <v>0</v>
      </c>
      <c r="AB182" s="2">
        <v>1</v>
      </c>
      <c r="AC182" s="2">
        <v>0</v>
      </c>
      <c r="AD182" s="2">
        <v>0</v>
      </c>
      <c r="AE182" s="2">
        <v>0</v>
      </c>
      <c r="AF182" s="2">
        <v>1</v>
      </c>
      <c r="AG182" s="2">
        <v>0</v>
      </c>
    </row>
    <row r="183" spans="1:33" x14ac:dyDescent="0.3">
      <c r="A183" s="2" t="s">
        <v>35</v>
      </c>
      <c r="B183" s="2" t="s">
        <v>535</v>
      </c>
      <c r="C183" s="2" t="s">
        <v>187</v>
      </c>
      <c r="D183" s="2" t="s">
        <v>536</v>
      </c>
      <c r="E183" s="2">
        <v>1991</v>
      </c>
      <c r="F183" s="2">
        <v>91</v>
      </c>
      <c r="G183" s="2">
        <v>15</v>
      </c>
      <c r="H183" s="2">
        <v>25</v>
      </c>
      <c r="I183" s="2">
        <v>39</v>
      </c>
      <c r="J183" s="2">
        <v>50</v>
      </c>
      <c r="K183" s="2">
        <f t="shared" ca="1" si="16"/>
        <v>35</v>
      </c>
      <c r="L183" s="2">
        <v>34</v>
      </c>
      <c r="M183" s="2">
        <v>58</v>
      </c>
      <c r="N183" s="2">
        <v>3937</v>
      </c>
      <c r="O183" s="2">
        <f t="shared" ca="1" si="17"/>
        <v>0.97142857142857142</v>
      </c>
      <c r="P183" s="2">
        <f t="shared" ca="1" si="18"/>
        <v>64.254317111459969</v>
      </c>
      <c r="Q183" s="2">
        <v>18.936599999999999</v>
      </c>
      <c r="R183" s="2">
        <f t="shared" si="19"/>
        <v>83.996263736263742</v>
      </c>
      <c r="S183" s="2">
        <v>34</v>
      </c>
      <c r="T183" s="2">
        <v>62</v>
      </c>
      <c r="U183" s="2">
        <v>97.970600000000005</v>
      </c>
      <c r="V183" s="2">
        <f t="shared" si="20"/>
        <v>57.714819587346888</v>
      </c>
      <c r="W183" s="2">
        <v>10</v>
      </c>
      <c r="X183" s="2">
        <f t="shared" si="21"/>
        <v>45.912961132995989</v>
      </c>
      <c r="Y183" s="2">
        <v>76.5</v>
      </c>
      <c r="Z183" s="2">
        <f t="shared" si="22"/>
        <v>51</v>
      </c>
      <c r="AA183" s="2">
        <f t="shared" si="23"/>
        <v>46.636899553894018</v>
      </c>
      <c r="AB183" s="2">
        <v>200.02</v>
      </c>
      <c r="AC183" s="2">
        <v>29</v>
      </c>
      <c r="AD183" s="2">
        <v>7</v>
      </c>
      <c r="AE183" s="2">
        <v>8</v>
      </c>
      <c r="AF183" s="2">
        <v>11</v>
      </c>
      <c r="AG183" s="2">
        <v>27</v>
      </c>
    </row>
    <row r="184" spans="1:33" x14ac:dyDescent="0.3">
      <c r="A184" s="2" t="s">
        <v>35</v>
      </c>
      <c r="B184" s="2" t="s">
        <v>538</v>
      </c>
      <c r="C184" s="2" t="s">
        <v>74</v>
      </c>
      <c r="D184" s="2" t="s">
        <v>539</v>
      </c>
      <c r="E184" s="2">
        <v>2026</v>
      </c>
      <c r="F184" s="2">
        <v>1</v>
      </c>
      <c r="G184" s="2">
        <v>1</v>
      </c>
      <c r="H184" s="2">
        <v>0</v>
      </c>
      <c r="I184" s="2">
        <v>0</v>
      </c>
      <c r="J184" s="2">
        <v>0</v>
      </c>
      <c r="K184" s="2">
        <f t="shared" ca="1" si="16"/>
        <v>1</v>
      </c>
      <c r="L184" s="2">
        <v>1</v>
      </c>
      <c r="M184" s="2">
        <v>0</v>
      </c>
      <c r="N184" s="2">
        <v>1</v>
      </c>
      <c r="O184" s="2">
        <f t="shared" ca="1" si="17"/>
        <v>1</v>
      </c>
      <c r="P184" s="2">
        <f t="shared" ca="1" si="18"/>
        <v>190</v>
      </c>
      <c r="Q184" s="2">
        <v>1</v>
      </c>
      <c r="R184" s="2">
        <f t="shared" si="19"/>
        <v>190</v>
      </c>
      <c r="S184" s="2">
        <v>1</v>
      </c>
      <c r="T184" s="2">
        <v>1</v>
      </c>
      <c r="U184" s="2">
        <v>1</v>
      </c>
      <c r="V184" s="2">
        <f t="shared" si="20"/>
        <v>1</v>
      </c>
      <c r="W184" s="2">
        <v>1</v>
      </c>
      <c r="X184" s="2">
        <f t="shared" si="21"/>
        <v>1</v>
      </c>
      <c r="Y184" s="2">
        <v>1</v>
      </c>
      <c r="Z184" s="2">
        <f t="shared" si="22"/>
        <v>1</v>
      </c>
      <c r="AA184" s="2">
        <f t="shared" si="23"/>
        <v>0</v>
      </c>
      <c r="AB184" s="2">
        <v>1</v>
      </c>
      <c r="AC184" s="2">
        <v>0</v>
      </c>
      <c r="AD184" s="2">
        <v>0</v>
      </c>
      <c r="AE184" s="2">
        <v>1</v>
      </c>
      <c r="AF184" s="2">
        <v>0</v>
      </c>
      <c r="AG184" s="2">
        <v>0</v>
      </c>
    </row>
    <row r="185" spans="1:33" x14ac:dyDescent="0.3">
      <c r="A185" s="2" t="s">
        <v>35</v>
      </c>
      <c r="B185" s="2" t="s">
        <v>1106</v>
      </c>
      <c r="C185" s="2" t="s">
        <v>43</v>
      </c>
      <c r="D185" s="2" t="s">
        <v>1107</v>
      </c>
      <c r="E185" s="2">
        <v>2013</v>
      </c>
      <c r="F185" s="2">
        <v>2</v>
      </c>
      <c r="G185" s="2">
        <v>0</v>
      </c>
      <c r="H185" s="2">
        <v>2</v>
      </c>
      <c r="I185" s="2">
        <v>2</v>
      </c>
      <c r="J185" s="2">
        <v>2</v>
      </c>
      <c r="K185" s="2">
        <f t="shared" ca="1" si="16"/>
        <v>13</v>
      </c>
      <c r="L185" s="2">
        <v>0</v>
      </c>
      <c r="M185" s="2">
        <v>0</v>
      </c>
      <c r="N185" s="2">
        <v>0</v>
      </c>
      <c r="O185" s="2">
        <f t="shared" ca="1" si="17"/>
        <v>0</v>
      </c>
      <c r="P185" s="2">
        <f t="shared" ca="1" si="18"/>
        <v>50</v>
      </c>
      <c r="Q185" s="2">
        <v>0</v>
      </c>
      <c r="R185" s="2">
        <f t="shared" si="19"/>
        <v>50</v>
      </c>
      <c r="S185" s="2">
        <v>0</v>
      </c>
      <c r="T185" s="2">
        <v>0</v>
      </c>
      <c r="U185" s="2">
        <v>0</v>
      </c>
      <c r="V185" s="2">
        <f t="shared" si="20"/>
        <v>0</v>
      </c>
      <c r="W185" s="2">
        <v>0</v>
      </c>
      <c r="X185" s="2">
        <f t="shared" si="21"/>
        <v>0</v>
      </c>
      <c r="Y185" s="2">
        <v>0</v>
      </c>
      <c r="Z185" s="2">
        <f t="shared" si="22"/>
        <v>0</v>
      </c>
      <c r="AA185" s="2">
        <f t="shared" si="23"/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 x14ac:dyDescent="0.3">
      <c r="A186" s="2" t="s">
        <v>35</v>
      </c>
      <c r="B186" s="2" t="s">
        <v>541</v>
      </c>
      <c r="C186" s="2" t="s">
        <v>43</v>
      </c>
      <c r="D186" s="2" t="s">
        <v>542</v>
      </c>
      <c r="E186" s="2">
        <v>2002</v>
      </c>
      <c r="F186" s="2">
        <v>17</v>
      </c>
      <c r="G186" s="2">
        <v>0</v>
      </c>
      <c r="H186" s="2">
        <v>17</v>
      </c>
      <c r="I186" s="2">
        <v>17</v>
      </c>
      <c r="J186" s="2">
        <v>17</v>
      </c>
      <c r="K186" s="2">
        <f t="shared" ca="1" si="16"/>
        <v>24</v>
      </c>
      <c r="L186" s="2">
        <v>6</v>
      </c>
      <c r="M186" s="2">
        <v>5</v>
      </c>
      <c r="N186" s="2">
        <v>76</v>
      </c>
      <c r="O186" s="2">
        <f t="shared" ca="1" si="17"/>
        <v>0.25</v>
      </c>
      <c r="P186" s="2">
        <f t="shared" ca="1" si="18"/>
        <v>86.764705882352942</v>
      </c>
      <c r="Q186" s="2">
        <v>2.9510999999999998</v>
      </c>
      <c r="R186" s="2">
        <f t="shared" si="19"/>
        <v>102.65352941176471</v>
      </c>
      <c r="S186" s="2">
        <v>6</v>
      </c>
      <c r="T186" s="2">
        <v>8</v>
      </c>
      <c r="U186" s="2">
        <v>11.166700000000001</v>
      </c>
      <c r="V186" s="2">
        <f t="shared" si="20"/>
        <v>8.1853649888077697</v>
      </c>
      <c r="W186" s="2">
        <v>3</v>
      </c>
      <c r="X186" s="2">
        <f t="shared" si="21"/>
        <v>6.9282032302755088</v>
      </c>
      <c r="Y186" s="2">
        <v>10.5</v>
      </c>
      <c r="Z186" s="2">
        <f t="shared" si="22"/>
        <v>7.9372539331937721</v>
      </c>
      <c r="AA186" s="2">
        <f t="shared" si="23"/>
        <v>5.5677823233312571</v>
      </c>
      <c r="AB186" s="2">
        <v>14.2478</v>
      </c>
      <c r="AC186" s="2">
        <v>6</v>
      </c>
      <c r="AD186" s="2">
        <v>0</v>
      </c>
      <c r="AE186" s="2">
        <v>0</v>
      </c>
      <c r="AF186" s="2">
        <v>0</v>
      </c>
      <c r="AG186" s="2">
        <v>6</v>
      </c>
    </row>
    <row r="187" spans="1:33" x14ac:dyDescent="0.3">
      <c r="A187" s="2" t="s">
        <v>35</v>
      </c>
      <c r="B187" s="2" t="s">
        <v>544</v>
      </c>
      <c r="C187" s="2" t="s">
        <v>109</v>
      </c>
      <c r="D187" s="2" t="s">
        <v>545</v>
      </c>
      <c r="E187" s="2">
        <v>1976</v>
      </c>
      <c r="F187" s="2">
        <v>31</v>
      </c>
      <c r="G187" s="2">
        <v>17</v>
      </c>
      <c r="H187" s="2">
        <v>11</v>
      </c>
      <c r="I187" s="2">
        <v>7</v>
      </c>
      <c r="J187" s="2">
        <v>11</v>
      </c>
      <c r="K187" s="2">
        <f t="shared" ca="1" si="16"/>
        <v>50</v>
      </c>
      <c r="L187" s="2">
        <v>2</v>
      </c>
      <c r="M187" s="2">
        <v>1</v>
      </c>
      <c r="N187" s="2">
        <v>53</v>
      </c>
      <c r="O187" s="2">
        <f t="shared" ca="1" si="17"/>
        <v>0.04</v>
      </c>
      <c r="P187" s="2">
        <f t="shared" ca="1" si="18"/>
        <v>18.838709677419352</v>
      </c>
      <c r="Q187" s="2">
        <v>2.6276999999999999</v>
      </c>
      <c r="R187" s="2">
        <f t="shared" si="19"/>
        <v>27.186129032258062</v>
      </c>
      <c r="S187" s="2">
        <v>2</v>
      </c>
      <c r="T187" s="2">
        <v>7</v>
      </c>
      <c r="U187" s="2">
        <v>24.5</v>
      </c>
      <c r="V187" s="2">
        <f t="shared" si="20"/>
        <v>7</v>
      </c>
      <c r="W187" s="2">
        <v>1</v>
      </c>
      <c r="X187" s="2">
        <f t="shared" si="21"/>
        <v>3.7416573867739413</v>
      </c>
      <c r="Y187" s="2">
        <v>24.5</v>
      </c>
      <c r="Z187" s="2">
        <f t="shared" si="22"/>
        <v>7</v>
      </c>
      <c r="AA187" s="2">
        <f t="shared" si="23"/>
        <v>6.7082039324993694</v>
      </c>
      <c r="AB187" s="2">
        <v>7.2111000000000001</v>
      </c>
      <c r="AC187" s="2">
        <v>2</v>
      </c>
      <c r="AD187" s="2">
        <v>1</v>
      </c>
      <c r="AE187" s="2">
        <v>0</v>
      </c>
      <c r="AF187" s="2">
        <v>2</v>
      </c>
      <c r="AG187" s="2">
        <v>1</v>
      </c>
    </row>
    <row r="188" spans="1:33" x14ac:dyDescent="0.3">
      <c r="A188" s="2" t="s">
        <v>35</v>
      </c>
      <c r="B188" s="2" t="s">
        <v>547</v>
      </c>
      <c r="C188" s="2" t="s">
        <v>51</v>
      </c>
      <c r="D188" s="2" t="s">
        <v>548</v>
      </c>
      <c r="E188" s="2">
        <v>1974</v>
      </c>
      <c r="F188" s="2">
        <v>138</v>
      </c>
      <c r="G188" s="2">
        <v>76</v>
      </c>
      <c r="H188" s="2">
        <v>38</v>
      </c>
      <c r="I188" s="2">
        <v>16</v>
      </c>
      <c r="J188" s="2">
        <v>39</v>
      </c>
      <c r="K188" s="2">
        <f t="shared" ca="1" si="16"/>
        <v>52</v>
      </c>
      <c r="L188" s="2">
        <v>20</v>
      </c>
      <c r="M188" s="2">
        <v>41</v>
      </c>
      <c r="N188" s="2">
        <v>1421</v>
      </c>
      <c r="O188" s="2">
        <f t="shared" ca="1" si="17"/>
        <v>0.38461538461538464</v>
      </c>
      <c r="P188" s="2">
        <f t="shared" ca="1" si="18"/>
        <v>23.394648829431439</v>
      </c>
      <c r="Q188" s="2">
        <v>10.510999999999999</v>
      </c>
      <c r="R188" s="2">
        <f t="shared" si="19"/>
        <v>30.732608695652175</v>
      </c>
      <c r="S188" s="2">
        <v>20</v>
      </c>
      <c r="T188" s="2">
        <v>34</v>
      </c>
      <c r="U188" s="2">
        <v>48.8</v>
      </c>
      <c r="V188" s="2">
        <f t="shared" si="20"/>
        <v>31.240998703626616</v>
      </c>
      <c r="W188" s="2">
        <v>7</v>
      </c>
      <c r="X188" s="2">
        <f t="shared" si="21"/>
        <v>26.076809620810597</v>
      </c>
      <c r="Y188" s="2">
        <v>40</v>
      </c>
      <c r="Z188" s="2">
        <f t="shared" si="22"/>
        <v>28.284271247461902</v>
      </c>
      <c r="AA188" s="2">
        <f t="shared" si="23"/>
        <v>24</v>
      </c>
      <c r="AB188" s="2">
        <v>86.953999999999994</v>
      </c>
      <c r="AC188" s="2">
        <v>12</v>
      </c>
      <c r="AD188" s="2">
        <v>6</v>
      </c>
      <c r="AE188" s="2">
        <v>13</v>
      </c>
      <c r="AF188" s="2">
        <v>14</v>
      </c>
      <c r="AG188" s="2">
        <v>1</v>
      </c>
    </row>
    <row r="189" spans="1:33" x14ac:dyDescent="0.3">
      <c r="A189" s="2" t="s">
        <v>35</v>
      </c>
      <c r="B189" s="2" t="s">
        <v>550</v>
      </c>
      <c r="C189" s="2" t="s">
        <v>551</v>
      </c>
      <c r="D189" s="2" t="s">
        <v>552</v>
      </c>
      <c r="E189" s="2">
        <v>2022</v>
      </c>
      <c r="F189" s="2">
        <v>4</v>
      </c>
      <c r="G189" s="2">
        <v>2</v>
      </c>
      <c r="H189" s="2">
        <v>1</v>
      </c>
      <c r="I189" s="2">
        <v>2</v>
      </c>
      <c r="J189" s="2">
        <v>2</v>
      </c>
      <c r="K189" s="2">
        <f t="shared" ca="1" si="16"/>
        <v>4</v>
      </c>
      <c r="L189" s="2">
        <v>2</v>
      </c>
      <c r="M189" s="2">
        <v>0</v>
      </c>
      <c r="N189" s="2">
        <v>5</v>
      </c>
      <c r="O189" s="2">
        <f t="shared" ca="1" si="17"/>
        <v>0.5</v>
      </c>
      <c r="P189" s="2">
        <f t="shared" ca="1" si="18"/>
        <v>82.5</v>
      </c>
      <c r="Q189" s="2">
        <v>1.2909999999999999</v>
      </c>
      <c r="R189" s="2">
        <f t="shared" si="19"/>
        <v>102.27499999999998</v>
      </c>
      <c r="S189" s="2">
        <v>2</v>
      </c>
      <c r="T189" s="2">
        <v>2</v>
      </c>
      <c r="U189" s="2">
        <v>2.5</v>
      </c>
      <c r="V189" s="2">
        <f t="shared" si="20"/>
        <v>2.2360679774997898</v>
      </c>
      <c r="W189" s="2">
        <v>1</v>
      </c>
      <c r="X189" s="2">
        <f t="shared" si="21"/>
        <v>2</v>
      </c>
      <c r="Y189" s="2">
        <v>2.5</v>
      </c>
      <c r="Z189" s="2">
        <f t="shared" si="22"/>
        <v>2.2360679774997898</v>
      </c>
      <c r="AA189" s="2">
        <f t="shared" si="23"/>
        <v>1</v>
      </c>
      <c r="AB189" s="2">
        <v>2.6457999999999999</v>
      </c>
      <c r="AC189" s="2">
        <v>2</v>
      </c>
      <c r="AD189" s="2">
        <v>0</v>
      </c>
      <c r="AE189" s="2">
        <v>0</v>
      </c>
      <c r="AF189" s="2">
        <v>0</v>
      </c>
      <c r="AG189" s="2">
        <v>2</v>
      </c>
    </row>
    <row r="190" spans="1:33" x14ac:dyDescent="0.3">
      <c r="A190" s="2" t="s">
        <v>35</v>
      </c>
      <c r="B190" s="2" t="s">
        <v>1108</v>
      </c>
      <c r="C190" s="2" t="s">
        <v>51</v>
      </c>
      <c r="D190" s="2" t="s">
        <v>1109</v>
      </c>
      <c r="E190" s="2">
        <v>2026</v>
      </c>
      <c r="F190" s="2">
        <v>1</v>
      </c>
      <c r="G190" s="2">
        <v>1</v>
      </c>
      <c r="H190" s="2">
        <v>0</v>
      </c>
      <c r="I190" s="2">
        <v>0</v>
      </c>
      <c r="J190" s="2">
        <v>0</v>
      </c>
      <c r="K190" s="2">
        <f t="shared" ca="1" si="16"/>
        <v>1</v>
      </c>
      <c r="L190" s="2">
        <v>0</v>
      </c>
      <c r="M190" s="2">
        <v>0</v>
      </c>
      <c r="N190" s="2">
        <v>0</v>
      </c>
      <c r="O190" s="2">
        <f t="shared" ca="1" si="17"/>
        <v>0</v>
      </c>
      <c r="P190" s="2">
        <f t="shared" ca="1" si="18"/>
        <v>-10</v>
      </c>
      <c r="Q190" s="2">
        <v>0</v>
      </c>
      <c r="R190" s="2">
        <f t="shared" si="19"/>
        <v>-10</v>
      </c>
      <c r="S190" s="2">
        <v>0</v>
      </c>
      <c r="T190" s="2">
        <v>0</v>
      </c>
      <c r="U190" s="2">
        <v>0</v>
      </c>
      <c r="V190" s="2">
        <f t="shared" si="20"/>
        <v>0</v>
      </c>
      <c r="W190" s="2">
        <v>0</v>
      </c>
      <c r="X190" s="2">
        <f t="shared" si="21"/>
        <v>0</v>
      </c>
      <c r="Y190" s="2">
        <v>0</v>
      </c>
      <c r="Z190" s="2">
        <f t="shared" si="22"/>
        <v>0</v>
      </c>
      <c r="AA190" s="2">
        <f t="shared" si="23"/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 x14ac:dyDescent="0.3">
      <c r="A191" s="2" t="s">
        <v>35</v>
      </c>
      <c r="B191" s="2" t="s">
        <v>554</v>
      </c>
      <c r="C191" s="2" t="s">
        <v>551</v>
      </c>
      <c r="D191" s="2" t="s">
        <v>555</v>
      </c>
      <c r="E191" s="2">
        <v>2017</v>
      </c>
      <c r="F191" s="2">
        <v>2</v>
      </c>
      <c r="G191" s="2">
        <v>0</v>
      </c>
      <c r="H191" s="2">
        <v>2</v>
      </c>
      <c r="I191" s="2">
        <v>0</v>
      </c>
      <c r="J191" s="2">
        <v>2</v>
      </c>
      <c r="K191" s="2">
        <f t="shared" ca="1" si="16"/>
        <v>9</v>
      </c>
      <c r="L191" s="2">
        <v>1</v>
      </c>
      <c r="M191" s="2">
        <v>0</v>
      </c>
      <c r="N191" s="2">
        <v>1</v>
      </c>
      <c r="O191" s="2">
        <f t="shared" ca="1" si="17"/>
        <v>0.1111111111111111</v>
      </c>
      <c r="P191" s="2">
        <f t="shared" ca="1" si="18"/>
        <v>105.55555555555556</v>
      </c>
      <c r="Q191" s="2">
        <v>0.31619999999999998</v>
      </c>
      <c r="R191" s="2">
        <f t="shared" si="19"/>
        <v>115.80999999999999</v>
      </c>
      <c r="S191" s="2">
        <v>1</v>
      </c>
      <c r="T191" s="2">
        <v>1</v>
      </c>
      <c r="U191" s="2">
        <v>1</v>
      </c>
      <c r="V191" s="2">
        <f t="shared" si="20"/>
        <v>1</v>
      </c>
      <c r="W191" s="2">
        <v>1</v>
      </c>
      <c r="X191" s="2">
        <f t="shared" si="21"/>
        <v>1</v>
      </c>
      <c r="Y191" s="2">
        <v>1</v>
      </c>
      <c r="Z191" s="2">
        <f t="shared" si="22"/>
        <v>1</v>
      </c>
      <c r="AA191" s="2">
        <f t="shared" si="23"/>
        <v>0</v>
      </c>
      <c r="AB191" s="2">
        <v>1</v>
      </c>
      <c r="AC191" s="2">
        <v>0</v>
      </c>
      <c r="AD191" s="2">
        <v>1</v>
      </c>
      <c r="AE191" s="2">
        <v>0</v>
      </c>
      <c r="AF191" s="2">
        <v>0</v>
      </c>
      <c r="AG191" s="2">
        <v>0</v>
      </c>
    </row>
    <row r="192" spans="1:33" x14ac:dyDescent="0.3">
      <c r="A192" s="2" t="s">
        <v>35</v>
      </c>
      <c r="B192" s="2" t="s">
        <v>557</v>
      </c>
      <c r="C192" s="2" t="s">
        <v>240</v>
      </c>
      <c r="D192" s="2" t="s">
        <v>558</v>
      </c>
      <c r="E192" s="2">
        <v>2008</v>
      </c>
      <c r="F192" s="2">
        <v>38</v>
      </c>
      <c r="G192" s="2">
        <v>5</v>
      </c>
      <c r="H192" s="2">
        <v>1</v>
      </c>
      <c r="I192" s="2">
        <v>1</v>
      </c>
      <c r="J192" s="2">
        <v>1</v>
      </c>
      <c r="K192" s="2">
        <f t="shared" ca="1" si="16"/>
        <v>18</v>
      </c>
      <c r="L192" s="2">
        <v>4</v>
      </c>
      <c r="M192" s="2">
        <v>3</v>
      </c>
      <c r="N192" s="2">
        <v>328</v>
      </c>
      <c r="O192" s="2">
        <f t="shared" ca="1" si="17"/>
        <v>0.22222222222222221</v>
      </c>
      <c r="P192" s="2">
        <f t="shared" ca="1" si="18"/>
        <v>11.111111111111112</v>
      </c>
      <c r="Q192" s="2">
        <v>4.6191000000000004</v>
      </c>
      <c r="R192" s="2">
        <f t="shared" si="19"/>
        <v>22.681842105263158</v>
      </c>
      <c r="S192" s="2">
        <v>4</v>
      </c>
      <c r="T192" s="2">
        <v>18</v>
      </c>
      <c r="U192" s="2">
        <v>82</v>
      </c>
      <c r="V192" s="2">
        <f t="shared" si="20"/>
        <v>18.110770276274835</v>
      </c>
      <c r="W192" s="2">
        <v>3</v>
      </c>
      <c r="X192" s="2">
        <f t="shared" si="21"/>
        <v>8.4852813742385695</v>
      </c>
      <c r="Y192" s="2">
        <v>64.5</v>
      </c>
      <c r="Z192" s="2">
        <f t="shared" si="22"/>
        <v>16.06237840420901</v>
      </c>
      <c r="AA192" s="2">
        <f t="shared" si="23"/>
        <v>17.663521732655695</v>
      </c>
      <c r="AB192" s="2">
        <v>22.181100000000001</v>
      </c>
      <c r="AC192" s="2">
        <v>2</v>
      </c>
      <c r="AD192" s="2">
        <v>0</v>
      </c>
      <c r="AE192" s="2">
        <v>0</v>
      </c>
      <c r="AF192" s="2">
        <v>4</v>
      </c>
      <c r="AG192" s="2">
        <v>0</v>
      </c>
    </row>
    <row r="193" spans="1:33" x14ac:dyDescent="0.3">
      <c r="A193" s="2" t="s">
        <v>35</v>
      </c>
      <c r="B193" s="2" t="s">
        <v>560</v>
      </c>
      <c r="C193" s="2" t="s">
        <v>62</v>
      </c>
      <c r="D193" s="2" t="s">
        <v>561</v>
      </c>
      <c r="E193" s="2">
        <v>2011</v>
      </c>
      <c r="F193" s="2">
        <v>35</v>
      </c>
      <c r="G193" s="2">
        <v>4</v>
      </c>
      <c r="H193" s="2">
        <v>10</v>
      </c>
      <c r="I193" s="2">
        <v>8</v>
      </c>
      <c r="J193" s="2">
        <v>10</v>
      </c>
      <c r="K193" s="2">
        <f t="shared" ca="1" si="16"/>
        <v>15</v>
      </c>
      <c r="L193" s="2">
        <v>5</v>
      </c>
      <c r="M193" s="2">
        <v>4</v>
      </c>
      <c r="N193" s="2">
        <v>85</v>
      </c>
      <c r="O193" s="2">
        <f t="shared" ca="1" si="17"/>
        <v>0.33333333333333331</v>
      </c>
      <c r="P193" s="2">
        <f t="shared" ca="1" si="18"/>
        <v>28.380952380952383</v>
      </c>
      <c r="Q193" s="2">
        <v>3.0849000000000002</v>
      </c>
      <c r="R193" s="2">
        <f t="shared" si="19"/>
        <v>36.242571428571424</v>
      </c>
      <c r="S193" s="2">
        <v>5</v>
      </c>
      <c r="T193" s="2">
        <v>8</v>
      </c>
      <c r="U193" s="2">
        <v>13.2</v>
      </c>
      <c r="V193" s="2">
        <f t="shared" si="20"/>
        <v>8.1240384046359608</v>
      </c>
      <c r="W193" s="2">
        <v>3</v>
      </c>
      <c r="X193" s="2">
        <f t="shared" si="21"/>
        <v>6.324555320336759</v>
      </c>
      <c r="Y193" s="2">
        <v>12</v>
      </c>
      <c r="Z193" s="2">
        <f t="shared" si="22"/>
        <v>7.745966692414834</v>
      </c>
      <c r="AA193" s="2">
        <f t="shared" si="23"/>
        <v>6.4031242374328485</v>
      </c>
      <c r="AB193" s="2">
        <v>12.609500000000001</v>
      </c>
      <c r="AC193" s="2">
        <v>4</v>
      </c>
      <c r="AD193" s="2">
        <v>2</v>
      </c>
      <c r="AE193" s="2">
        <v>4</v>
      </c>
      <c r="AF193" s="2">
        <v>1</v>
      </c>
      <c r="AG193" s="2">
        <v>1</v>
      </c>
    </row>
    <row r="194" spans="1:33" x14ac:dyDescent="0.3">
      <c r="A194" s="2" t="s">
        <v>35</v>
      </c>
      <c r="B194" s="2" t="s">
        <v>563</v>
      </c>
      <c r="C194" s="2" t="s">
        <v>388</v>
      </c>
      <c r="D194" s="2" t="s">
        <v>564</v>
      </c>
      <c r="E194" s="2">
        <v>2019</v>
      </c>
      <c r="F194" s="2">
        <v>6</v>
      </c>
      <c r="G194" s="2">
        <v>1</v>
      </c>
      <c r="H194" s="2">
        <v>3</v>
      </c>
      <c r="I194" s="2">
        <v>2</v>
      </c>
      <c r="J194" s="2">
        <v>3</v>
      </c>
      <c r="K194" s="2">
        <f t="shared" ref="K194:K257" ca="1" si="24">IF((YEAR(TODAY())-E194)&lt;=0,1,YEAR(TODAY())-E194)</f>
        <v>7</v>
      </c>
      <c r="L194" s="2">
        <v>4</v>
      </c>
      <c r="M194" s="2">
        <v>3</v>
      </c>
      <c r="N194" s="2">
        <v>647</v>
      </c>
      <c r="O194" s="2">
        <f t="shared" ref="O194:O257" ca="1" si="25">IFERROR(L194/K194,0)</f>
        <v>0.5714285714285714</v>
      </c>
      <c r="P194" s="2">
        <f t="shared" ref="P194:P257" ca="1" si="26">IFERROR((100/F194)*(L194-0.1*G194+0.5*J194+O194),0)</f>
        <v>99.523809523809533</v>
      </c>
      <c r="Q194" s="2">
        <v>9.2243999999999993</v>
      </c>
      <c r="R194" s="2">
        <f t="shared" ref="R194:R257" si="27">IFERROR((100/F194)*(L194-0.1*G194+0.5*J194+Q194),0)</f>
        <v>243.74</v>
      </c>
      <c r="S194" s="2">
        <v>4</v>
      </c>
      <c r="T194" s="2">
        <v>6</v>
      </c>
      <c r="U194" s="2">
        <v>161.75</v>
      </c>
      <c r="V194" s="2">
        <f t="shared" ref="V194:V257" si="28">IFERROR(SQRT(U194*S194),0)</f>
        <v>25.436194683953808</v>
      </c>
      <c r="W194" s="2">
        <v>3</v>
      </c>
      <c r="X194" s="2">
        <f t="shared" ref="X194:X257" si="29">IFERROR(SQRT(S194*T194),0)</f>
        <v>4.8989794855663558</v>
      </c>
      <c r="Y194" s="2">
        <v>13.5</v>
      </c>
      <c r="Z194" s="2">
        <f t="shared" ref="Z194:Z257" si="30">IFERROR(SQRT(S194*Y194),0)</f>
        <v>7.3484692283495345</v>
      </c>
      <c r="AA194" s="2">
        <f t="shared" ref="AA194:AA257" si="31">IFERROR(SQRT(MAX(U194*S194-S194^2,0)),0)</f>
        <v>25.119713374160941</v>
      </c>
      <c r="AB194" s="2">
        <v>26.589500000000001</v>
      </c>
      <c r="AC194" s="2">
        <v>2</v>
      </c>
      <c r="AD194" s="2">
        <v>0</v>
      </c>
      <c r="AE194" s="2">
        <v>0</v>
      </c>
      <c r="AF194" s="2">
        <v>2</v>
      </c>
      <c r="AG194" s="2">
        <v>2</v>
      </c>
    </row>
    <row r="195" spans="1:33" x14ac:dyDescent="0.3">
      <c r="A195" s="2" t="s">
        <v>35</v>
      </c>
      <c r="B195" s="2" t="s">
        <v>566</v>
      </c>
      <c r="C195" s="2" t="s">
        <v>38</v>
      </c>
      <c r="D195" s="2" t="s">
        <v>567</v>
      </c>
      <c r="E195" s="2">
        <v>2001</v>
      </c>
      <c r="F195" s="2">
        <v>108</v>
      </c>
      <c r="G195" s="2">
        <v>56</v>
      </c>
      <c r="H195" s="2">
        <v>9</v>
      </c>
      <c r="I195" s="2">
        <v>40</v>
      </c>
      <c r="J195" s="2">
        <v>47</v>
      </c>
      <c r="K195" s="2">
        <f t="shared" ca="1" si="24"/>
        <v>25</v>
      </c>
      <c r="L195" s="2">
        <v>30</v>
      </c>
      <c r="M195" s="2">
        <v>62</v>
      </c>
      <c r="N195" s="2">
        <v>4826</v>
      </c>
      <c r="O195" s="2">
        <f t="shared" ca="1" si="25"/>
        <v>1.2</v>
      </c>
      <c r="P195" s="2">
        <f t="shared" ca="1" si="26"/>
        <v>45.462962962962962</v>
      </c>
      <c r="Q195" s="2">
        <v>17.811</v>
      </c>
      <c r="R195" s="2">
        <f t="shared" si="27"/>
        <v>60.843518518518515</v>
      </c>
      <c r="S195" s="2">
        <v>30</v>
      </c>
      <c r="T195" s="2">
        <v>69</v>
      </c>
      <c r="U195" s="2">
        <v>136.9</v>
      </c>
      <c r="V195" s="2">
        <f t="shared" si="28"/>
        <v>64.085879880048466</v>
      </c>
      <c r="W195" s="2">
        <v>9</v>
      </c>
      <c r="X195" s="2">
        <f t="shared" si="29"/>
        <v>45.4972526643093</v>
      </c>
      <c r="Y195" s="2">
        <v>55.5</v>
      </c>
      <c r="Z195" s="2">
        <f t="shared" si="30"/>
        <v>40.80441152620633</v>
      </c>
      <c r="AA195" s="2">
        <f t="shared" si="31"/>
        <v>56.630380539071076</v>
      </c>
      <c r="AB195" s="2">
        <v>158.63800000000001</v>
      </c>
      <c r="AC195" s="2">
        <v>22</v>
      </c>
      <c r="AD195" s="2">
        <v>6</v>
      </c>
      <c r="AE195" s="2">
        <v>7</v>
      </c>
      <c r="AF195" s="2">
        <v>18</v>
      </c>
      <c r="AG195" s="2">
        <v>18</v>
      </c>
    </row>
    <row r="196" spans="1:33" x14ac:dyDescent="0.3">
      <c r="A196" s="2" t="s">
        <v>35</v>
      </c>
      <c r="B196" s="2" t="s">
        <v>569</v>
      </c>
      <c r="C196" s="2" t="s">
        <v>91</v>
      </c>
      <c r="D196" s="2" t="s">
        <v>570</v>
      </c>
      <c r="E196" s="2">
        <v>2019</v>
      </c>
      <c r="F196" s="2">
        <v>24</v>
      </c>
      <c r="G196" s="2">
        <v>4</v>
      </c>
      <c r="H196" s="2">
        <v>16</v>
      </c>
      <c r="I196" s="2">
        <v>11</v>
      </c>
      <c r="J196" s="2">
        <v>16</v>
      </c>
      <c r="K196" s="2">
        <f t="shared" ca="1" si="24"/>
        <v>7</v>
      </c>
      <c r="L196" s="2">
        <v>9</v>
      </c>
      <c r="M196" s="2">
        <v>9</v>
      </c>
      <c r="N196" s="2">
        <v>155</v>
      </c>
      <c r="O196" s="2">
        <f t="shared" ca="1" si="25"/>
        <v>1.2857142857142858</v>
      </c>
      <c r="P196" s="2">
        <f t="shared" ca="1" si="26"/>
        <v>74.523809523809533</v>
      </c>
      <c r="Q196" s="2">
        <v>4.6353</v>
      </c>
      <c r="R196" s="2">
        <f t="shared" si="27"/>
        <v>88.480416666666684</v>
      </c>
      <c r="S196" s="2">
        <v>9</v>
      </c>
      <c r="T196" s="2">
        <v>12</v>
      </c>
      <c r="U196" s="2">
        <v>14.222200000000001</v>
      </c>
      <c r="V196" s="2">
        <f t="shared" si="28"/>
        <v>11.313699660146543</v>
      </c>
      <c r="W196" s="2">
        <v>3</v>
      </c>
      <c r="X196" s="2">
        <f t="shared" si="29"/>
        <v>10.392304845413264</v>
      </c>
      <c r="Y196" s="2">
        <v>14</v>
      </c>
      <c r="Z196" s="2">
        <f t="shared" si="30"/>
        <v>11.224972160321824</v>
      </c>
      <c r="AA196" s="2">
        <f t="shared" si="31"/>
        <v>6.8556400138863776</v>
      </c>
      <c r="AB196" s="2">
        <v>24.145399999999999</v>
      </c>
      <c r="AC196" s="2">
        <v>9</v>
      </c>
      <c r="AD196" s="2">
        <v>3</v>
      </c>
      <c r="AE196" s="2">
        <v>1</v>
      </c>
      <c r="AF196" s="2">
        <v>1</v>
      </c>
      <c r="AG196" s="2">
        <v>8</v>
      </c>
    </row>
    <row r="197" spans="1:33" x14ac:dyDescent="0.3">
      <c r="A197" s="2" t="s">
        <v>35</v>
      </c>
      <c r="B197" s="2" t="s">
        <v>572</v>
      </c>
      <c r="C197" s="2" t="s">
        <v>43</v>
      </c>
      <c r="D197" s="2" t="s">
        <v>573</v>
      </c>
      <c r="E197" s="2">
        <v>2013</v>
      </c>
      <c r="F197" s="2">
        <v>14</v>
      </c>
      <c r="G197" s="2">
        <v>1</v>
      </c>
      <c r="H197" s="2">
        <v>5</v>
      </c>
      <c r="I197" s="2">
        <v>4</v>
      </c>
      <c r="J197" s="2">
        <v>5</v>
      </c>
      <c r="K197" s="2">
        <f t="shared" ca="1" si="24"/>
        <v>13</v>
      </c>
      <c r="L197" s="2">
        <v>2</v>
      </c>
      <c r="M197" s="2">
        <v>0</v>
      </c>
      <c r="N197" s="2">
        <v>6</v>
      </c>
      <c r="O197" s="2">
        <f t="shared" ca="1" si="25"/>
        <v>0.15384615384615385</v>
      </c>
      <c r="P197" s="2">
        <f t="shared" ca="1" si="26"/>
        <v>32.527472527472533</v>
      </c>
      <c r="Q197" s="2">
        <v>1.1618999999999999</v>
      </c>
      <c r="R197" s="2">
        <f t="shared" si="27"/>
        <v>39.727857142857147</v>
      </c>
      <c r="S197" s="2">
        <v>2</v>
      </c>
      <c r="T197" s="2">
        <v>2</v>
      </c>
      <c r="U197" s="2">
        <v>3</v>
      </c>
      <c r="V197" s="2">
        <f t="shared" si="28"/>
        <v>2.4494897427831779</v>
      </c>
      <c r="W197" s="2">
        <v>1</v>
      </c>
      <c r="X197" s="2">
        <f t="shared" si="29"/>
        <v>2</v>
      </c>
      <c r="Y197" s="2">
        <v>3</v>
      </c>
      <c r="Z197" s="2">
        <f t="shared" si="30"/>
        <v>2.4494897427831779</v>
      </c>
      <c r="AA197" s="2">
        <f t="shared" si="31"/>
        <v>1.4142135623730951</v>
      </c>
      <c r="AB197" s="2">
        <v>3</v>
      </c>
      <c r="AC197" s="2">
        <v>1</v>
      </c>
      <c r="AD197" s="2">
        <v>1</v>
      </c>
      <c r="AE197" s="2">
        <v>1</v>
      </c>
      <c r="AF197" s="2">
        <v>0</v>
      </c>
      <c r="AG197" s="2">
        <v>0</v>
      </c>
    </row>
    <row r="198" spans="1:33" x14ac:dyDescent="0.3">
      <c r="A198" s="2" t="s">
        <v>35</v>
      </c>
      <c r="B198" s="2" t="s">
        <v>575</v>
      </c>
      <c r="C198" s="2" t="s">
        <v>43</v>
      </c>
      <c r="D198" s="2" t="s">
        <v>576</v>
      </c>
      <c r="E198" s="2">
        <v>1992</v>
      </c>
      <c r="F198" s="2">
        <v>24</v>
      </c>
      <c r="G198" s="2">
        <v>0</v>
      </c>
      <c r="H198" s="2">
        <v>24</v>
      </c>
      <c r="I198" s="2">
        <v>24</v>
      </c>
      <c r="J198" s="2">
        <v>24</v>
      </c>
      <c r="K198" s="2">
        <f t="shared" ca="1" si="24"/>
        <v>34</v>
      </c>
      <c r="L198" s="2">
        <v>3</v>
      </c>
      <c r="M198" s="2">
        <v>1</v>
      </c>
      <c r="N198" s="2">
        <v>44</v>
      </c>
      <c r="O198" s="2">
        <f t="shared" ca="1" si="25"/>
        <v>8.8235294117647065E-2</v>
      </c>
      <c r="P198" s="2">
        <f t="shared" ca="1" si="26"/>
        <v>62.867647058823536</v>
      </c>
      <c r="Q198" s="2">
        <v>1.0383</v>
      </c>
      <c r="R198" s="2">
        <f t="shared" si="27"/>
        <v>66.826250000000002</v>
      </c>
      <c r="S198" s="2">
        <v>3</v>
      </c>
      <c r="T198" s="2">
        <v>5</v>
      </c>
      <c r="U198" s="2">
        <v>8.6667000000000005</v>
      </c>
      <c r="V198" s="2">
        <f t="shared" si="28"/>
        <v>5.0990293193901133</v>
      </c>
      <c r="W198" s="2">
        <v>2</v>
      </c>
      <c r="X198" s="2">
        <f t="shared" si="29"/>
        <v>3.872983346207417</v>
      </c>
      <c r="Y198" s="2">
        <v>6</v>
      </c>
      <c r="Z198" s="2">
        <f t="shared" si="30"/>
        <v>4.2426406871192848</v>
      </c>
      <c r="AA198" s="2">
        <f t="shared" si="31"/>
        <v>4.1231177523810789</v>
      </c>
      <c r="AB198" s="2">
        <v>6.4806999999999997</v>
      </c>
      <c r="AC198" s="2">
        <v>3</v>
      </c>
      <c r="AD198" s="2">
        <v>0</v>
      </c>
      <c r="AE198" s="2">
        <v>0</v>
      </c>
      <c r="AF198" s="2">
        <v>0</v>
      </c>
      <c r="AG198" s="2">
        <v>3</v>
      </c>
    </row>
    <row r="199" spans="1:33" x14ac:dyDescent="0.3">
      <c r="A199" s="2" t="s">
        <v>35</v>
      </c>
      <c r="B199" s="2" t="s">
        <v>578</v>
      </c>
      <c r="C199" s="2" t="s">
        <v>43</v>
      </c>
      <c r="D199" s="2" t="s">
        <v>579</v>
      </c>
      <c r="E199" s="2">
        <v>1993</v>
      </c>
      <c r="F199" s="2">
        <v>291</v>
      </c>
      <c r="G199" s="2">
        <v>4</v>
      </c>
      <c r="H199" s="2">
        <v>253</v>
      </c>
      <c r="I199" s="2">
        <v>207</v>
      </c>
      <c r="J199" s="2">
        <v>267</v>
      </c>
      <c r="K199" s="2">
        <f t="shared" ca="1" si="24"/>
        <v>33</v>
      </c>
      <c r="L199" s="2">
        <v>9</v>
      </c>
      <c r="M199" s="2">
        <v>7</v>
      </c>
      <c r="N199" s="2">
        <v>463</v>
      </c>
      <c r="O199" s="2">
        <f t="shared" ca="1" si="25"/>
        <v>0.27272727272727271</v>
      </c>
      <c r="P199" s="2">
        <f t="shared" ca="1" si="26"/>
        <v>48.925335832552328</v>
      </c>
      <c r="Q199" s="2">
        <v>3.4567000000000001</v>
      </c>
      <c r="R199" s="2">
        <f t="shared" si="27"/>
        <v>50.01948453608248</v>
      </c>
      <c r="S199" s="2">
        <v>9</v>
      </c>
      <c r="T199" s="2">
        <v>16</v>
      </c>
      <c r="U199" s="2">
        <v>24.1111</v>
      </c>
      <c r="V199" s="2">
        <f t="shared" si="28"/>
        <v>14.730916468434678</v>
      </c>
      <c r="W199" s="2">
        <v>4</v>
      </c>
      <c r="X199" s="2">
        <f t="shared" si="29"/>
        <v>12</v>
      </c>
      <c r="Y199" s="2">
        <v>17</v>
      </c>
      <c r="Z199" s="2">
        <f t="shared" si="30"/>
        <v>12.369316876852981</v>
      </c>
      <c r="AA199" s="2">
        <f t="shared" si="31"/>
        <v>11.661899502225184</v>
      </c>
      <c r="AB199" s="2">
        <v>26.210699999999999</v>
      </c>
      <c r="AC199" s="2">
        <v>9</v>
      </c>
      <c r="AD199" s="2">
        <v>3</v>
      </c>
      <c r="AE199" s="2">
        <v>0</v>
      </c>
      <c r="AF199" s="2">
        <v>3</v>
      </c>
      <c r="AG199" s="2">
        <v>8</v>
      </c>
    </row>
    <row r="200" spans="1:33" x14ac:dyDescent="0.3">
      <c r="A200" s="2" t="s">
        <v>35</v>
      </c>
      <c r="B200" s="2" t="s">
        <v>581</v>
      </c>
      <c r="C200" s="2" t="s">
        <v>318</v>
      </c>
      <c r="D200" s="2" t="s">
        <v>582</v>
      </c>
      <c r="E200" s="2">
        <v>2007</v>
      </c>
      <c r="F200" s="2">
        <v>95</v>
      </c>
      <c r="G200" s="2">
        <v>60</v>
      </c>
      <c r="H200" s="2">
        <v>10</v>
      </c>
      <c r="I200" s="2">
        <v>17</v>
      </c>
      <c r="J200" s="2">
        <v>24</v>
      </c>
      <c r="K200" s="2">
        <f t="shared" ca="1" si="24"/>
        <v>19</v>
      </c>
      <c r="L200" s="2">
        <v>35</v>
      </c>
      <c r="M200" s="2">
        <v>55</v>
      </c>
      <c r="N200" s="2">
        <v>4008</v>
      </c>
      <c r="O200" s="2">
        <f t="shared" ca="1" si="25"/>
        <v>1.8421052631578947</v>
      </c>
      <c r="P200" s="2">
        <f t="shared" ca="1" si="26"/>
        <v>45.096952908587255</v>
      </c>
      <c r="Q200" s="2">
        <v>22.4895</v>
      </c>
      <c r="R200" s="2">
        <f t="shared" si="27"/>
        <v>66.831052631578942</v>
      </c>
      <c r="S200" s="2">
        <v>35</v>
      </c>
      <c r="T200" s="2">
        <v>63</v>
      </c>
      <c r="U200" s="2">
        <v>101.5714</v>
      </c>
      <c r="V200" s="2">
        <f t="shared" si="28"/>
        <v>59.623812357144686</v>
      </c>
      <c r="W200" s="2">
        <v>10</v>
      </c>
      <c r="X200" s="2">
        <f t="shared" si="29"/>
        <v>46.957427527495582</v>
      </c>
      <c r="Y200" s="2">
        <v>77</v>
      </c>
      <c r="Z200" s="2">
        <f t="shared" si="30"/>
        <v>51.913389409669641</v>
      </c>
      <c r="AA200" s="2">
        <f t="shared" si="31"/>
        <v>48.270063186202684</v>
      </c>
      <c r="AB200" s="2">
        <v>206.45339999999999</v>
      </c>
      <c r="AC200" s="2">
        <v>17</v>
      </c>
      <c r="AD200" s="2">
        <v>1</v>
      </c>
      <c r="AE200" s="2">
        <v>5</v>
      </c>
      <c r="AF200" s="2">
        <v>30</v>
      </c>
      <c r="AG200" s="2">
        <v>10</v>
      </c>
    </row>
    <row r="201" spans="1:33" x14ac:dyDescent="0.3">
      <c r="A201" s="2" t="s">
        <v>35</v>
      </c>
      <c r="B201" s="2" t="s">
        <v>1110</v>
      </c>
      <c r="C201" s="2" t="s">
        <v>74</v>
      </c>
      <c r="D201" s="2" t="s">
        <v>1111</v>
      </c>
      <c r="E201" s="2">
        <v>2026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  <c r="K201" s="2">
        <f t="shared" ca="1" si="24"/>
        <v>1</v>
      </c>
      <c r="L201" s="2">
        <v>0</v>
      </c>
      <c r="M201" s="2">
        <v>0</v>
      </c>
      <c r="N201" s="2">
        <v>0</v>
      </c>
      <c r="O201" s="2">
        <f t="shared" ca="1" si="25"/>
        <v>0</v>
      </c>
      <c r="P201" s="2">
        <f t="shared" ca="1" si="26"/>
        <v>0</v>
      </c>
      <c r="Q201" s="2">
        <v>0</v>
      </c>
      <c r="R201" s="2">
        <f t="shared" si="27"/>
        <v>0</v>
      </c>
      <c r="S201" s="2">
        <v>0</v>
      </c>
      <c r="T201" s="2">
        <v>0</v>
      </c>
      <c r="U201" s="2">
        <v>0</v>
      </c>
      <c r="V201" s="2">
        <f t="shared" si="28"/>
        <v>0</v>
      </c>
      <c r="W201" s="2">
        <v>0</v>
      </c>
      <c r="X201" s="2">
        <f t="shared" si="29"/>
        <v>0</v>
      </c>
      <c r="Y201" s="2">
        <v>0</v>
      </c>
      <c r="Z201" s="2">
        <f t="shared" si="30"/>
        <v>0</v>
      </c>
      <c r="AA201" s="2">
        <f t="shared" si="31"/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 x14ac:dyDescent="0.3">
      <c r="A202" s="2" t="s">
        <v>35</v>
      </c>
      <c r="B202" s="2" t="s">
        <v>584</v>
      </c>
      <c r="C202" s="2" t="s">
        <v>43</v>
      </c>
      <c r="D202" s="2" t="s">
        <v>585</v>
      </c>
      <c r="E202" s="2">
        <v>1988</v>
      </c>
      <c r="F202" s="2">
        <v>19</v>
      </c>
      <c r="G202" s="2">
        <v>0</v>
      </c>
      <c r="H202" s="2">
        <v>19</v>
      </c>
      <c r="I202" s="2">
        <v>16</v>
      </c>
      <c r="J202" s="2">
        <v>19</v>
      </c>
      <c r="K202" s="2">
        <f t="shared" ca="1" si="24"/>
        <v>38</v>
      </c>
      <c r="L202" s="2">
        <v>3</v>
      </c>
      <c r="M202" s="2">
        <v>2</v>
      </c>
      <c r="N202" s="2">
        <v>47</v>
      </c>
      <c r="O202" s="2">
        <f t="shared" ca="1" si="25"/>
        <v>7.8947368421052627E-2</v>
      </c>
      <c r="P202" s="2">
        <f t="shared" ca="1" si="26"/>
        <v>66.204986149584499</v>
      </c>
      <c r="Q202" s="2">
        <v>1.5867</v>
      </c>
      <c r="R202" s="2">
        <f t="shared" si="27"/>
        <v>74.140526315789486</v>
      </c>
      <c r="S202" s="2">
        <v>3</v>
      </c>
      <c r="T202" s="2">
        <v>6</v>
      </c>
      <c r="U202" s="2">
        <v>13.333299999999999</v>
      </c>
      <c r="V202" s="2">
        <f t="shared" si="28"/>
        <v>6.3245474146376672</v>
      </c>
      <c r="W202" s="2">
        <v>2</v>
      </c>
      <c r="X202" s="2">
        <f t="shared" si="29"/>
        <v>4.2426406871192848</v>
      </c>
      <c r="Y202" s="2">
        <v>12</v>
      </c>
      <c r="Z202" s="2">
        <f t="shared" si="30"/>
        <v>6</v>
      </c>
      <c r="AA202" s="2">
        <f t="shared" si="31"/>
        <v>5.567755382557678</v>
      </c>
      <c r="AB202" s="2">
        <v>7.7460000000000004</v>
      </c>
      <c r="AC202" s="2">
        <v>3</v>
      </c>
      <c r="AD202" s="2">
        <v>0</v>
      </c>
      <c r="AE202" s="2">
        <v>0</v>
      </c>
      <c r="AF202" s="2">
        <v>0</v>
      </c>
      <c r="AG202" s="2">
        <v>3</v>
      </c>
    </row>
    <row r="203" spans="1:33" x14ac:dyDescent="0.3">
      <c r="A203" s="2" t="s">
        <v>35</v>
      </c>
      <c r="B203" s="2" t="s">
        <v>587</v>
      </c>
      <c r="C203" s="2" t="s">
        <v>67</v>
      </c>
      <c r="D203" s="2" t="s">
        <v>588</v>
      </c>
      <c r="E203" s="2">
        <v>1997</v>
      </c>
      <c r="F203" s="2">
        <v>123</v>
      </c>
      <c r="G203" s="2">
        <v>43</v>
      </c>
      <c r="H203" s="2">
        <v>9</v>
      </c>
      <c r="I203" s="2">
        <v>57</v>
      </c>
      <c r="J203" s="2">
        <v>64</v>
      </c>
      <c r="K203" s="2">
        <f t="shared" ca="1" si="24"/>
        <v>29</v>
      </c>
      <c r="L203" s="2">
        <v>27</v>
      </c>
      <c r="M203" s="2">
        <v>52</v>
      </c>
      <c r="N203" s="2">
        <v>2598</v>
      </c>
      <c r="O203" s="2">
        <f t="shared" ca="1" si="25"/>
        <v>0.93103448275862066</v>
      </c>
      <c r="P203" s="2">
        <f t="shared" ca="1" si="26"/>
        <v>45.228483319315949</v>
      </c>
      <c r="Q203" s="2">
        <v>15.792299999999999</v>
      </c>
      <c r="R203" s="2">
        <f t="shared" si="27"/>
        <v>57.310813008130083</v>
      </c>
      <c r="S203" s="2">
        <v>27</v>
      </c>
      <c r="T203" s="2">
        <v>49</v>
      </c>
      <c r="U203" s="2">
        <v>75.074100000000001</v>
      </c>
      <c r="V203" s="2">
        <f t="shared" si="28"/>
        <v>45.022224511900788</v>
      </c>
      <c r="W203" s="2">
        <v>9</v>
      </c>
      <c r="X203" s="2">
        <f t="shared" si="29"/>
        <v>36.373066958946424</v>
      </c>
      <c r="Y203" s="2">
        <v>58</v>
      </c>
      <c r="Z203" s="2">
        <f t="shared" si="30"/>
        <v>39.572717874818757</v>
      </c>
      <c r="AA203" s="2">
        <f t="shared" si="31"/>
        <v>36.027776784031509</v>
      </c>
      <c r="AB203" s="2">
        <v>136.24979999999999</v>
      </c>
      <c r="AC203" s="2">
        <v>23</v>
      </c>
      <c r="AD203" s="2">
        <v>3</v>
      </c>
      <c r="AE203" s="2">
        <v>0</v>
      </c>
      <c r="AF203" s="2">
        <v>15</v>
      </c>
      <c r="AG203" s="2">
        <v>20</v>
      </c>
    </row>
    <row r="204" spans="1:33" x14ac:dyDescent="0.3">
      <c r="A204" s="2" t="s">
        <v>35</v>
      </c>
      <c r="B204" s="2" t="s">
        <v>590</v>
      </c>
      <c r="C204" s="2" t="s">
        <v>43</v>
      </c>
      <c r="D204" s="2" t="s">
        <v>591</v>
      </c>
      <c r="E204" s="2">
        <v>2007</v>
      </c>
      <c r="F204" s="2">
        <v>16</v>
      </c>
      <c r="G204" s="2">
        <v>0</v>
      </c>
      <c r="H204" s="2">
        <v>16</v>
      </c>
      <c r="I204" s="2">
        <v>15</v>
      </c>
      <c r="J204" s="2">
        <v>16</v>
      </c>
      <c r="K204" s="2">
        <f t="shared" ca="1" si="24"/>
        <v>19</v>
      </c>
      <c r="L204" s="2">
        <v>3</v>
      </c>
      <c r="M204" s="2">
        <v>1</v>
      </c>
      <c r="N204" s="2">
        <v>48</v>
      </c>
      <c r="O204" s="2">
        <f t="shared" ca="1" si="25"/>
        <v>0.15789473684210525</v>
      </c>
      <c r="P204" s="2">
        <f t="shared" ca="1" si="26"/>
        <v>69.73684210526315</v>
      </c>
      <c r="Q204" s="2">
        <v>1.5456000000000001</v>
      </c>
      <c r="R204" s="2">
        <f t="shared" si="27"/>
        <v>78.41</v>
      </c>
      <c r="S204" s="2">
        <v>3</v>
      </c>
      <c r="T204" s="2">
        <v>6</v>
      </c>
      <c r="U204" s="2">
        <v>10.666700000000001</v>
      </c>
      <c r="V204" s="2">
        <f t="shared" si="28"/>
        <v>5.6568630883202404</v>
      </c>
      <c r="W204" s="2">
        <v>2</v>
      </c>
      <c r="X204" s="2">
        <f t="shared" si="29"/>
        <v>4.2426406871192848</v>
      </c>
      <c r="Y204" s="2">
        <v>8</v>
      </c>
      <c r="Z204" s="2">
        <f t="shared" si="30"/>
        <v>4.8989794855663558</v>
      </c>
      <c r="AA204" s="2">
        <f t="shared" si="31"/>
        <v>4.7958419490220905</v>
      </c>
      <c r="AB204" s="2">
        <v>6.9282000000000004</v>
      </c>
      <c r="AC204" s="2">
        <v>3</v>
      </c>
      <c r="AD204" s="2">
        <v>1</v>
      </c>
      <c r="AE204" s="2">
        <v>0</v>
      </c>
      <c r="AF204" s="2">
        <v>0</v>
      </c>
      <c r="AG204" s="2">
        <v>3</v>
      </c>
    </row>
    <row r="205" spans="1:33" x14ac:dyDescent="0.3">
      <c r="A205" s="2" t="s">
        <v>35</v>
      </c>
      <c r="B205" s="2" t="s">
        <v>593</v>
      </c>
      <c r="C205" s="2" t="s">
        <v>150</v>
      </c>
      <c r="D205" s="2" t="s">
        <v>594</v>
      </c>
      <c r="E205" s="2">
        <v>1980</v>
      </c>
      <c r="F205" s="2">
        <v>230</v>
      </c>
      <c r="G205" s="2">
        <v>69</v>
      </c>
      <c r="H205" s="2">
        <v>82</v>
      </c>
      <c r="I205" s="2">
        <v>54</v>
      </c>
      <c r="J205" s="2">
        <v>114</v>
      </c>
      <c r="K205" s="2">
        <f t="shared" ca="1" si="24"/>
        <v>46</v>
      </c>
      <c r="L205" s="2">
        <v>54</v>
      </c>
      <c r="M205" s="2">
        <v>122</v>
      </c>
      <c r="N205" s="2">
        <v>14534</v>
      </c>
      <c r="O205" s="2">
        <f t="shared" ca="1" si="25"/>
        <v>1.173913043478261</v>
      </c>
      <c r="P205" s="2">
        <f t="shared" ca="1" si="26"/>
        <v>45.771266540642721</v>
      </c>
      <c r="Q205" s="2">
        <v>36.750599999999999</v>
      </c>
      <c r="R205" s="2">
        <f t="shared" si="27"/>
        <v>61.239391304347819</v>
      </c>
      <c r="S205" s="2">
        <v>54</v>
      </c>
      <c r="T205" s="2">
        <v>119</v>
      </c>
      <c r="U205" s="2">
        <v>232.0926</v>
      </c>
      <c r="V205" s="2">
        <f t="shared" si="28"/>
        <v>111.95088387324148</v>
      </c>
      <c r="W205" s="2">
        <v>12</v>
      </c>
      <c r="X205" s="2">
        <f t="shared" si="29"/>
        <v>80.162335295324326</v>
      </c>
      <c r="Y205" s="2">
        <v>97</v>
      </c>
      <c r="Z205" s="2">
        <f t="shared" si="30"/>
        <v>72.374028490888918</v>
      </c>
      <c r="AA205" s="2">
        <f t="shared" si="31"/>
        <v>98.066306140284496</v>
      </c>
      <c r="AB205" s="2">
        <v>375.70729999999998</v>
      </c>
      <c r="AC205" s="2">
        <v>36</v>
      </c>
      <c r="AD205" s="2">
        <v>24</v>
      </c>
      <c r="AE205" s="2">
        <v>15</v>
      </c>
      <c r="AF205" s="2">
        <v>30</v>
      </c>
      <c r="AG205" s="2">
        <v>20</v>
      </c>
    </row>
    <row r="206" spans="1:33" x14ac:dyDescent="0.3">
      <c r="A206" s="2" t="s">
        <v>35</v>
      </c>
      <c r="B206" s="2" t="s">
        <v>596</v>
      </c>
      <c r="C206" s="2" t="s">
        <v>187</v>
      </c>
      <c r="D206" s="2" t="s">
        <v>597</v>
      </c>
      <c r="E206" s="2">
        <v>2004</v>
      </c>
      <c r="F206" s="2">
        <v>30</v>
      </c>
      <c r="G206" s="2">
        <v>9</v>
      </c>
      <c r="H206" s="2">
        <v>5</v>
      </c>
      <c r="I206" s="2">
        <v>1</v>
      </c>
      <c r="J206" s="2">
        <v>6</v>
      </c>
      <c r="K206" s="2">
        <f t="shared" ca="1" si="24"/>
        <v>22</v>
      </c>
      <c r="L206" s="2">
        <v>10</v>
      </c>
      <c r="M206" s="2">
        <v>10</v>
      </c>
      <c r="N206" s="2">
        <v>650</v>
      </c>
      <c r="O206" s="2">
        <f t="shared" ca="1" si="25"/>
        <v>0.45454545454545453</v>
      </c>
      <c r="P206" s="2">
        <f t="shared" ca="1" si="26"/>
        <v>41.848484848484851</v>
      </c>
      <c r="Q206" s="2">
        <v>7.0789999999999997</v>
      </c>
      <c r="R206" s="2">
        <f t="shared" si="27"/>
        <v>63.93</v>
      </c>
      <c r="S206" s="2">
        <v>10</v>
      </c>
      <c r="T206" s="2">
        <v>25</v>
      </c>
      <c r="U206" s="2">
        <v>61.4</v>
      </c>
      <c r="V206" s="2">
        <f t="shared" si="28"/>
        <v>24.779023386727733</v>
      </c>
      <c r="W206" s="2">
        <v>5</v>
      </c>
      <c r="X206" s="2">
        <f t="shared" si="29"/>
        <v>15.811388300841896</v>
      </c>
      <c r="Y206" s="2">
        <v>30</v>
      </c>
      <c r="Z206" s="2">
        <f t="shared" si="30"/>
        <v>17.320508075688775</v>
      </c>
      <c r="AA206" s="2">
        <f t="shared" si="31"/>
        <v>22.671568097509269</v>
      </c>
      <c r="AB206" s="2">
        <v>40.718499999999999</v>
      </c>
      <c r="AC206" s="2">
        <v>6</v>
      </c>
      <c r="AD206" s="2">
        <v>2</v>
      </c>
      <c r="AE206" s="2">
        <v>3</v>
      </c>
      <c r="AF206" s="2">
        <v>8</v>
      </c>
      <c r="AG206" s="2">
        <v>1</v>
      </c>
    </row>
    <row r="207" spans="1:33" x14ac:dyDescent="0.3">
      <c r="A207" s="2" t="s">
        <v>35</v>
      </c>
      <c r="B207" s="2" t="s">
        <v>599</v>
      </c>
      <c r="C207" s="2" t="s">
        <v>74</v>
      </c>
      <c r="D207" s="2" t="s">
        <v>600</v>
      </c>
      <c r="E207" s="2">
        <v>1986</v>
      </c>
      <c r="F207" s="2">
        <v>116</v>
      </c>
      <c r="G207" s="2">
        <v>35</v>
      </c>
      <c r="H207" s="2">
        <v>20</v>
      </c>
      <c r="I207" s="2">
        <v>18</v>
      </c>
      <c r="J207" s="2">
        <v>30</v>
      </c>
      <c r="K207" s="2">
        <f t="shared" ca="1" si="24"/>
        <v>40</v>
      </c>
      <c r="L207" s="2">
        <v>22</v>
      </c>
      <c r="M207" s="2">
        <v>40</v>
      </c>
      <c r="N207" s="2">
        <v>1732</v>
      </c>
      <c r="O207" s="2">
        <f t="shared" ca="1" si="25"/>
        <v>0.55000000000000004</v>
      </c>
      <c r="P207" s="2">
        <f t="shared" ca="1" si="26"/>
        <v>29.353448275862064</v>
      </c>
      <c r="Q207" s="2">
        <v>11.545299999999999</v>
      </c>
      <c r="R207" s="2">
        <f t="shared" si="27"/>
        <v>38.832155172413792</v>
      </c>
      <c r="S207" s="2">
        <v>22</v>
      </c>
      <c r="T207" s="2">
        <v>39</v>
      </c>
      <c r="U207" s="2">
        <v>59</v>
      </c>
      <c r="V207" s="2">
        <f t="shared" si="28"/>
        <v>36.027767069303643</v>
      </c>
      <c r="W207" s="2">
        <v>6</v>
      </c>
      <c r="X207" s="2">
        <f t="shared" si="29"/>
        <v>29.29163703175362</v>
      </c>
      <c r="Y207" s="2">
        <v>34.5</v>
      </c>
      <c r="Z207" s="2">
        <f t="shared" si="30"/>
        <v>27.54995462791182</v>
      </c>
      <c r="AA207" s="2">
        <f t="shared" si="31"/>
        <v>28.530685235374211</v>
      </c>
      <c r="AB207" s="2">
        <v>95.042100000000005</v>
      </c>
      <c r="AC207" s="2">
        <v>15</v>
      </c>
      <c r="AD207" s="2">
        <v>5</v>
      </c>
      <c r="AE207" s="2">
        <v>9</v>
      </c>
      <c r="AF207" s="2">
        <v>15</v>
      </c>
      <c r="AG207" s="2">
        <v>9</v>
      </c>
    </row>
    <row r="208" spans="1:33" x14ac:dyDescent="0.3">
      <c r="A208" s="2" t="s">
        <v>35</v>
      </c>
      <c r="B208" s="2" t="s">
        <v>602</v>
      </c>
      <c r="C208" s="2" t="s">
        <v>43</v>
      </c>
      <c r="D208" s="2" t="s">
        <v>603</v>
      </c>
      <c r="E208" s="2">
        <v>2001</v>
      </c>
      <c r="F208" s="2">
        <v>2</v>
      </c>
      <c r="G208" s="2">
        <v>0</v>
      </c>
      <c r="H208" s="2">
        <v>2</v>
      </c>
      <c r="I208" s="2">
        <v>2</v>
      </c>
      <c r="J208" s="2">
        <v>2</v>
      </c>
      <c r="K208" s="2">
        <f t="shared" ca="1" si="24"/>
        <v>25</v>
      </c>
      <c r="L208" s="2">
        <v>1</v>
      </c>
      <c r="M208" s="2">
        <v>0</v>
      </c>
      <c r="N208" s="2">
        <v>5</v>
      </c>
      <c r="O208" s="2">
        <f t="shared" ca="1" si="25"/>
        <v>0.04</v>
      </c>
      <c r="P208" s="2">
        <f t="shared" ca="1" si="26"/>
        <v>102</v>
      </c>
      <c r="Q208" s="2">
        <v>0.39219999999999999</v>
      </c>
      <c r="R208" s="2">
        <f t="shared" si="27"/>
        <v>119.61</v>
      </c>
      <c r="S208" s="2">
        <v>1</v>
      </c>
      <c r="T208" s="2">
        <v>2</v>
      </c>
      <c r="U208" s="2">
        <v>4</v>
      </c>
      <c r="V208" s="2">
        <f t="shared" si="28"/>
        <v>2</v>
      </c>
      <c r="W208" s="2">
        <v>1</v>
      </c>
      <c r="X208" s="2">
        <f t="shared" si="29"/>
        <v>1.4142135623730951</v>
      </c>
      <c r="Y208" s="2">
        <v>4</v>
      </c>
      <c r="Z208" s="2">
        <f t="shared" si="30"/>
        <v>2</v>
      </c>
      <c r="AA208" s="2">
        <f t="shared" si="31"/>
        <v>1.7320508075688772</v>
      </c>
      <c r="AB208" s="2">
        <v>2</v>
      </c>
      <c r="AC208" s="2">
        <v>1</v>
      </c>
      <c r="AD208" s="2">
        <v>0</v>
      </c>
      <c r="AE208" s="2">
        <v>0</v>
      </c>
      <c r="AF208" s="2">
        <v>0</v>
      </c>
      <c r="AG208" s="2">
        <v>1</v>
      </c>
    </row>
    <row r="209" spans="1:33" x14ac:dyDescent="0.3">
      <c r="A209" s="2" t="s">
        <v>35</v>
      </c>
      <c r="B209" s="2" t="s">
        <v>605</v>
      </c>
      <c r="C209" s="2" t="s">
        <v>91</v>
      </c>
      <c r="D209" s="2" t="s">
        <v>606</v>
      </c>
      <c r="E209" s="2">
        <v>2018</v>
      </c>
      <c r="F209" s="2">
        <v>26</v>
      </c>
      <c r="G209" s="2">
        <v>6</v>
      </c>
      <c r="H209" s="2">
        <v>7</v>
      </c>
      <c r="I209" s="2">
        <v>0</v>
      </c>
      <c r="J209" s="2">
        <v>7</v>
      </c>
      <c r="K209" s="2">
        <f t="shared" ca="1" si="24"/>
        <v>8</v>
      </c>
      <c r="L209" s="2">
        <v>7</v>
      </c>
      <c r="M209" s="2">
        <v>7</v>
      </c>
      <c r="N209" s="2">
        <v>544</v>
      </c>
      <c r="O209" s="2">
        <f t="shared" ca="1" si="25"/>
        <v>0.875</v>
      </c>
      <c r="P209" s="2">
        <f t="shared" ca="1" si="26"/>
        <v>41.442307692307693</v>
      </c>
      <c r="Q209" s="2">
        <v>9.9330999999999996</v>
      </c>
      <c r="R209" s="2">
        <f t="shared" si="27"/>
        <v>76.281153846153856</v>
      </c>
      <c r="S209" s="2">
        <v>7</v>
      </c>
      <c r="T209" s="2">
        <v>23</v>
      </c>
      <c r="U209" s="2">
        <v>74.857100000000003</v>
      </c>
      <c r="V209" s="2">
        <f t="shared" si="28"/>
        <v>22.891039731737834</v>
      </c>
      <c r="W209" s="2">
        <v>4</v>
      </c>
      <c r="X209" s="2">
        <f t="shared" si="29"/>
        <v>12.68857754044952</v>
      </c>
      <c r="Y209" s="2">
        <v>28</v>
      </c>
      <c r="Z209" s="2">
        <f t="shared" si="30"/>
        <v>14</v>
      </c>
      <c r="AA209" s="2">
        <f t="shared" si="31"/>
        <v>21.794487835230267</v>
      </c>
      <c r="AB209" s="2">
        <v>32.1248</v>
      </c>
      <c r="AC209" s="2">
        <v>6</v>
      </c>
      <c r="AD209" s="2">
        <v>5</v>
      </c>
      <c r="AE209" s="2">
        <v>2</v>
      </c>
      <c r="AF209" s="2">
        <v>2</v>
      </c>
      <c r="AG209" s="2">
        <v>0</v>
      </c>
    </row>
    <row r="210" spans="1:33" x14ac:dyDescent="0.3">
      <c r="A210" s="2" t="s">
        <v>35</v>
      </c>
      <c r="B210" s="2" t="s">
        <v>608</v>
      </c>
      <c r="C210" s="2" t="s">
        <v>51</v>
      </c>
      <c r="D210" s="2" t="s">
        <v>609</v>
      </c>
      <c r="E210" s="2">
        <v>1977</v>
      </c>
      <c r="F210" s="2">
        <v>481</v>
      </c>
      <c r="G210" s="2">
        <v>344</v>
      </c>
      <c r="H210" s="2">
        <v>26</v>
      </c>
      <c r="I210" s="2">
        <v>78</v>
      </c>
      <c r="J210" s="2">
        <v>98</v>
      </c>
      <c r="K210" s="2">
        <f t="shared" ca="1" si="24"/>
        <v>49</v>
      </c>
      <c r="L210" s="2">
        <v>56</v>
      </c>
      <c r="M210" s="2">
        <v>283</v>
      </c>
      <c r="N210" s="2">
        <v>12561</v>
      </c>
      <c r="O210" s="2">
        <f t="shared" ca="1" si="25"/>
        <v>1.1428571428571428</v>
      </c>
      <c r="P210" s="2">
        <f t="shared" ca="1" si="26"/>
        <v>14.915354915354914</v>
      </c>
      <c r="Q210" s="2">
        <v>19.843699999999998</v>
      </c>
      <c r="R210" s="2">
        <f t="shared" si="27"/>
        <v>18.803264033264032</v>
      </c>
      <c r="S210" s="2">
        <v>56</v>
      </c>
      <c r="T210" s="2">
        <v>87</v>
      </c>
      <c r="U210" s="2">
        <v>108.8929</v>
      </c>
      <c r="V210" s="2">
        <f t="shared" si="28"/>
        <v>78.089707388362001</v>
      </c>
      <c r="W210" s="2">
        <v>10</v>
      </c>
      <c r="X210" s="2">
        <f t="shared" si="29"/>
        <v>69.799713466460588</v>
      </c>
      <c r="Y210" s="2">
        <v>75.5</v>
      </c>
      <c r="Z210" s="2">
        <f t="shared" si="30"/>
        <v>65.023072828035438</v>
      </c>
      <c r="AA210" s="2">
        <f t="shared" si="31"/>
        <v>54.424281345737576</v>
      </c>
      <c r="AB210" s="2">
        <v>344.37619999999998</v>
      </c>
      <c r="AC210" s="2">
        <v>29</v>
      </c>
      <c r="AD210" s="2">
        <v>9</v>
      </c>
      <c r="AE210" s="2">
        <v>0</v>
      </c>
      <c r="AF210" s="2">
        <v>53</v>
      </c>
      <c r="AG210" s="2">
        <v>26</v>
      </c>
    </row>
    <row r="211" spans="1:33" x14ac:dyDescent="0.3">
      <c r="A211" s="2" t="s">
        <v>35</v>
      </c>
      <c r="B211" s="2" t="s">
        <v>611</v>
      </c>
      <c r="C211" s="2" t="s">
        <v>43</v>
      </c>
      <c r="D211" s="2" t="s">
        <v>612</v>
      </c>
      <c r="E211" s="2">
        <v>2018</v>
      </c>
      <c r="F211" s="2">
        <v>74</v>
      </c>
      <c r="G211" s="2">
        <v>1</v>
      </c>
      <c r="H211" s="2">
        <v>24</v>
      </c>
      <c r="I211" s="2">
        <v>22</v>
      </c>
      <c r="J211" s="2">
        <v>24</v>
      </c>
      <c r="K211" s="2">
        <f t="shared" ca="1" si="24"/>
        <v>8</v>
      </c>
      <c r="L211" s="2">
        <v>7</v>
      </c>
      <c r="M211" s="2">
        <v>4</v>
      </c>
      <c r="N211" s="2">
        <v>276</v>
      </c>
      <c r="O211" s="2">
        <f t="shared" ca="1" si="25"/>
        <v>0.875</v>
      </c>
      <c r="P211" s="2">
        <f t="shared" ca="1" si="26"/>
        <v>26.722972972972972</v>
      </c>
      <c r="Q211" s="2">
        <v>9.1287000000000003</v>
      </c>
      <c r="R211" s="2">
        <f t="shared" si="27"/>
        <v>37.876621621621624</v>
      </c>
      <c r="S211" s="2">
        <v>7</v>
      </c>
      <c r="T211" s="2">
        <v>16</v>
      </c>
      <c r="U211" s="2">
        <v>35.714300000000001</v>
      </c>
      <c r="V211" s="2">
        <f t="shared" si="28"/>
        <v>15.811391463119241</v>
      </c>
      <c r="W211" s="2">
        <v>3</v>
      </c>
      <c r="X211" s="2">
        <f t="shared" si="29"/>
        <v>10.583005244258363</v>
      </c>
      <c r="Y211" s="2">
        <v>12</v>
      </c>
      <c r="Z211" s="2">
        <f t="shared" si="30"/>
        <v>9.1651513899116797</v>
      </c>
      <c r="AA211" s="2">
        <f t="shared" si="31"/>
        <v>14.177450405485466</v>
      </c>
      <c r="AB211" s="2">
        <v>21.656400000000001</v>
      </c>
      <c r="AC211" s="2">
        <v>5</v>
      </c>
      <c r="AD211" s="2">
        <v>1</v>
      </c>
      <c r="AE211" s="2">
        <v>4</v>
      </c>
      <c r="AF211" s="2">
        <v>1</v>
      </c>
      <c r="AG211" s="2">
        <v>3</v>
      </c>
    </row>
    <row r="212" spans="1:33" x14ac:dyDescent="0.3">
      <c r="A212" s="2" t="s">
        <v>35</v>
      </c>
      <c r="B212" s="2" t="s">
        <v>614</v>
      </c>
      <c r="C212" s="2" t="s">
        <v>99</v>
      </c>
      <c r="D212" s="2" t="s">
        <v>615</v>
      </c>
      <c r="E212" s="2">
        <v>2009</v>
      </c>
      <c r="F212" s="2">
        <v>82</v>
      </c>
      <c r="G212" s="2">
        <v>25</v>
      </c>
      <c r="H212" s="2">
        <v>52</v>
      </c>
      <c r="I212" s="2">
        <v>7</v>
      </c>
      <c r="J212" s="2">
        <v>57</v>
      </c>
      <c r="K212" s="2">
        <f t="shared" ca="1" si="24"/>
        <v>17</v>
      </c>
      <c r="L212" s="2">
        <v>23</v>
      </c>
      <c r="M212" s="2">
        <v>26</v>
      </c>
      <c r="N212" s="2">
        <v>2055</v>
      </c>
      <c r="O212" s="2">
        <f t="shared" ca="1" si="25"/>
        <v>1.3529411764705883</v>
      </c>
      <c r="P212" s="2">
        <f t="shared" ca="1" si="26"/>
        <v>61.406025824964132</v>
      </c>
      <c r="Q212" s="2">
        <v>15.577400000000001</v>
      </c>
      <c r="R212" s="2">
        <f t="shared" si="27"/>
        <v>78.75292682926829</v>
      </c>
      <c r="S212" s="2">
        <v>23</v>
      </c>
      <c r="T212" s="2">
        <v>45</v>
      </c>
      <c r="U212" s="2">
        <v>85.260900000000007</v>
      </c>
      <c r="V212" s="2">
        <f t="shared" si="28"/>
        <v>44.283187554646517</v>
      </c>
      <c r="W212" s="2">
        <v>9</v>
      </c>
      <c r="X212" s="2">
        <f t="shared" si="29"/>
        <v>32.171415884290823</v>
      </c>
      <c r="Y212" s="2">
        <v>53</v>
      </c>
      <c r="Z212" s="2">
        <f t="shared" si="30"/>
        <v>34.914180500192181</v>
      </c>
      <c r="AA212" s="2">
        <f t="shared" si="31"/>
        <v>37.841785105885265</v>
      </c>
      <c r="AB212" s="2">
        <v>118.5074</v>
      </c>
      <c r="AC212" s="2">
        <v>21</v>
      </c>
      <c r="AD212" s="2">
        <v>15</v>
      </c>
      <c r="AE212" s="2">
        <v>4</v>
      </c>
      <c r="AF212" s="2">
        <v>6</v>
      </c>
      <c r="AG212" s="2">
        <v>4</v>
      </c>
    </row>
    <row r="213" spans="1:33" x14ac:dyDescent="0.3">
      <c r="A213" s="2" t="s">
        <v>35</v>
      </c>
      <c r="B213" s="2" t="s">
        <v>617</v>
      </c>
      <c r="C213" s="2" t="s">
        <v>91</v>
      </c>
      <c r="D213" s="2" t="s">
        <v>618</v>
      </c>
      <c r="E213" s="2">
        <v>2022</v>
      </c>
      <c r="F213" s="2">
        <v>9</v>
      </c>
      <c r="G213" s="2">
        <v>0</v>
      </c>
      <c r="H213" s="2">
        <v>8</v>
      </c>
      <c r="I213" s="2">
        <v>1</v>
      </c>
      <c r="J213" s="2">
        <v>8</v>
      </c>
      <c r="K213" s="2">
        <f t="shared" ca="1" si="24"/>
        <v>4</v>
      </c>
      <c r="L213" s="2">
        <v>7</v>
      </c>
      <c r="M213" s="2">
        <v>5</v>
      </c>
      <c r="N213" s="2">
        <v>99</v>
      </c>
      <c r="O213" s="2">
        <f t="shared" ca="1" si="25"/>
        <v>1.75</v>
      </c>
      <c r="P213" s="2">
        <f t="shared" ca="1" si="26"/>
        <v>141.66666666666666</v>
      </c>
      <c r="Q213" s="2">
        <v>5.0579999999999998</v>
      </c>
      <c r="R213" s="2">
        <f t="shared" si="27"/>
        <v>178.42222222222222</v>
      </c>
      <c r="S213" s="2">
        <v>7</v>
      </c>
      <c r="T213" s="2">
        <v>9</v>
      </c>
      <c r="U213" s="2">
        <v>14.142899999999999</v>
      </c>
      <c r="V213" s="2">
        <f t="shared" si="28"/>
        <v>9.9498894466220076</v>
      </c>
      <c r="W213" s="2">
        <v>3</v>
      </c>
      <c r="X213" s="2">
        <f t="shared" si="29"/>
        <v>7.9372539331937721</v>
      </c>
      <c r="Y213" s="2">
        <v>12</v>
      </c>
      <c r="Z213" s="2">
        <f t="shared" si="30"/>
        <v>9.1651513899116797</v>
      </c>
      <c r="AA213" s="2">
        <f t="shared" si="31"/>
        <v>7.0710890250370912</v>
      </c>
      <c r="AB213" s="2">
        <v>17.635200000000001</v>
      </c>
      <c r="AC213" s="2">
        <v>6</v>
      </c>
      <c r="AD213" s="2">
        <v>6</v>
      </c>
      <c r="AE213" s="2">
        <v>1</v>
      </c>
      <c r="AF213" s="2">
        <v>0</v>
      </c>
      <c r="AG213" s="2">
        <v>0</v>
      </c>
    </row>
    <row r="214" spans="1:33" x14ac:dyDescent="0.3">
      <c r="A214" s="2" t="s">
        <v>35</v>
      </c>
      <c r="B214" s="2" t="s">
        <v>620</v>
      </c>
      <c r="C214" s="2" t="s">
        <v>38</v>
      </c>
      <c r="D214" s="2" t="s">
        <v>621</v>
      </c>
      <c r="E214" s="2">
        <v>1979</v>
      </c>
      <c r="F214" s="2">
        <v>510</v>
      </c>
      <c r="G214" s="2">
        <v>148</v>
      </c>
      <c r="H214" s="2">
        <v>130</v>
      </c>
      <c r="I214" s="2">
        <v>82</v>
      </c>
      <c r="J214" s="2">
        <v>161</v>
      </c>
      <c r="K214" s="2">
        <f t="shared" ca="1" si="24"/>
        <v>47</v>
      </c>
      <c r="L214" s="2">
        <v>31</v>
      </c>
      <c r="M214" s="2">
        <v>121</v>
      </c>
      <c r="N214" s="2">
        <v>4661</v>
      </c>
      <c r="O214" s="2">
        <f t="shared" ca="1" si="25"/>
        <v>0.65957446808510634</v>
      </c>
      <c r="P214" s="2">
        <f t="shared" ca="1" si="26"/>
        <v>19.090112640801003</v>
      </c>
      <c r="Q214" s="2">
        <v>15.1844</v>
      </c>
      <c r="R214" s="2">
        <f t="shared" si="27"/>
        <v>21.938117647058824</v>
      </c>
      <c r="S214" s="2">
        <v>31</v>
      </c>
      <c r="T214" s="2">
        <v>52</v>
      </c>
      <c r="U214" s="2">
        <v>71.032300000000006</v>
      </c>
      <c r="V214" s="2">
        <f t="shared" si="28"/>
        <v>46.925486678349969</v>
      </c>
      <c r="W214" s="2">
        <v>8</v>
      </c>
      <c r="X214" s="2">
        <f t="shared" si="29"/>
        <v>40.149719799769464</v>
      </c>
      <c r="Y214" s="2">
        <v>47</v>
      </c>
      <c r="Z214" s="2">
        <f t="shared" si="30"/>
        <v>38.17066936798463</v>
      </c>
      <c r="AA214" s="2">
        <f t="shared" si="31"/>
        <v>35.227848358933308</v>
      </c>
      <c r="AB214" s="2">
        <v>155.86529999999999</v>
      </c>
      <c r="AC214" s="2">
        <v>22</v>
      </c>
      <c r="AD214" s="2">
        <v>12</v>
      </c>
      <c r="AE214" s="2">
        <v>22</v>
      </c>
      <c r="AF214" s="2">
        <v>21</v>
      </c>
      <c r="AG214" s="2">
        <v>16</v>
      </c>
    </row>
    <row r="215" spans="1:33" x14ac:dyDescent="0.3">
      <c r="A215" s="2" t="s">
        <v>35</v>
      </c>
      <c r="B215" s="2" t="s">
        <v>623</v>
      </c>
      <c r="C215" s="2" t="s">
        <v>38</v>
      </c>
      <c r="D215" s="2" t="s">
        <v>624</v>
      </c>
      <c r="E215" s="2">
        <v>2012</v>
      </c>
      <c r="F215" s="2">
        <v>61</v>
      </c>
      <c r="G215" s="2">
        <v>10</v>
      </c>
      <c r="H215" s="2">
        <v>16</v>
      </c>
      <c r="I215" s="2">
        <v>8</v>
      </c>
      <c r="J215" s="2">
        <v>20</v>
      </c>
      <c r="K215" s="2">
        <f t="shared" ca="1" si="24"/>
        <v>14</v>
      </c>
      <c r="L215" s="2">
        <v>5</v>
      </c>
      <c r="M215" s="2">
        <v>1</v>
      </c>
      <c r="N215" s="2">
        <v>94</v>
      </c>
      <c r="O215" s="2">
        <f t="shared" ca="1" si="25"/>
        <v>0.35714285714285715</v>
      </c>
      <c r="P215" s="2">
        <f t="shared" ca="1" si="26"/>
        <v>23.536299765807964</v>
      </c>
      <c r="Q215" s="2">
        <v>2.4485000000000001</v>
      </c>
      <c r="R215" s="2">
        <f t="shared" si="27"/>
        <v>26.964754098360654</v>
      </c>
      <c r="S215" s="2">
        <v>5</v>
      </c>
      <c r="T215" s="2">
        <v>7</v>
      </c>
      <c r="U215" s="2">
        <v>8.4</v>
      </c>
      <c r="V215" s="2">
        <f t="shared" si="28"/>
        <v>6.4807406984078604</v>
      </c>
      <c r="W215" s="2">
        <v>3</v>
      </c>
      <c r="X215" s="2">
        <f t="shared" si="29"/>
        <v>5.9160797830996161</v>
      </c>
      <c r="Y215" s="2">
        <v>9</v>
      </c>
      <c r="Z215" s="2">
        <f t="shared" si="30"/>
        <v>6.7082039324993694</v>
      </c>
      <c r="AA215" s="2">
        <f t="shared" si="31"/>
        <v>4.1231056256176606</v>
      </c>
      <c r="AB215" s="2">
        <v>10.816700000000001</v>
      </c>
      <c r="AC215" s="2">
        <v>3</v>
      </c>
      <c r="AD215" s="2">
        <v>0</v>
      </c>
      <c r="AE215" s="2">
        <v>4</v>
      </c>
      <c r="AF215" s="2">
        <v>4</v>
      </c>
      <c r="AG215" s="2">
        <v>3</v>
      </c>
    </row>
    <row r="216" spans="1:33" x14ac:dyDescent="0.3">
      <c r="A216" s="2" t="s">
        <v>35</v>
      </c>
      <c r="B216" s="2" t="s">
        <v>626</v>
      </c>
      <c r="C216" s="2" t="s">
        <v>91</v>
      </c>
      <c r="D216" s="2" t="s">
        <v>627</v>
      </c>
      <c r="E216" s="2">
        <v>1987</v>
      </c>
      <c r="F216" s="2">
        <v>430</v>
      </c>
      <c r="G216" s="2">
        <v>12</v>
      </c>
      <c r="H216" s="2">
        <v>83</v>
      </c>
      <c r="I216" s="2">
        <v>148</v>
      </c>
      <c r="J216" s="2">
        <v>200</v>
      </c>
      <c r="K216" s="2">
        <f t="shared" ca="1" si="24"/>
        <v>39</v>
      </c>
      <c r="L216" s="2">
        <v>39</v>
      </c>
      <c r="M216" s="2">
        <v>178</v>
      </c>
      <c r="N216" s="2">
        <v>7892</v>
      </c>
      <c r="O216" s="2">
        <f t="shared" ca="1" si="25"/>
        <v>1</v>
      </c>
      <c r="P216" s="2">
        <f t="shared" ca="1" si="26"/>
        <v>32.279069767441861</v>
      </c>
      <c r="Q216" s="2">
        <v>16.991299999999999</v>
      </c>
      <c r="R216" s="2">
        <f t="shared" si="27"/>
        <v>35.997976744186047</v>
      </c>
      <c r="S216" s="2">
        <v>39</v>
      </c>
      <c r="T216" s="2">
        <v>74</v>
      </c>
      <c r="U216" s="2">
        <v>116.2821</v>
      </c>
      <c r="V216" s="2">
        <f t="shared" si="28"/>
        <v>67.342422736340581</v>
      </c>
      <c r="W216" s="2">
        <v>10</v>
      </c>
      <c r="X216" s="2">
        <f t="shared" si="29"/>
        <v>53.721504074253168</v>
      </c>
      <c r="Y216" s="2">
        <v>65</v>
      </c>
      <c r="Z216" s="2">
        <f t="shared" si="30"/>
        <v>50.34878350069642</v>
      </c>
      <c r="AA216" s="2">
        <f t="shared" si="31"/>
        <v>54.899926229458636</v>
      </c>
      <c r="AB216" s="2">
        <v>219.69749999999999</v>
      </c>
      <c r="AC216" s="2">
        <v>32</v>
      </c>
      <c r="AD216" s="2">
        <v>17</v>
      </c>
      <c r="AE216" s="2">
        <v>14</v>
      </c>
      <c r="AF216" s="2">
        <v>21</v>
      </c>
      <c r="AG216" s="2">
        <v>27</v>
      </c>
    </row>
    <row r="217" spans="1:33" x14ac:dyDescent="0.3">
      <c r="A217" s="2" t="s">
        <v>35</v>
      </c>
      <c r="B217" s="2" t="s">
        <v>629</v>
      </c>
      <c r="C217" s="2" t="s">
        <v>51</v>
      </c>
      <c r="D217" s="2" t="s">
        <v>630</v>
      </c>
      <c r="E217" s="2">
        <v>1969</v>
      </c>
      <c r="F217" s="2">
        <v>41</v>
      </c>
      <c r="G217" s="2">
        <v>6</v>
      </c>
      <c r="H217" s="2">
        <v>11</v>
      </c>
      <c r="I217" s="2">
        <v>12</v>
      </c>
      <c r="J217" s="2">
        <v>15</v>
      </c>
      <c r="K217" s="2">
        <f t="shared" ca="1" si="24"/>
        <v>57</v>
      </c>
      <c r="L217" s="2">
        <v>15</v>
      </c>
      <c r="M217" s="2">
        <v>16</v>
      </c>
      <c r="N217" s="2">
        <v>1503</v>
      </c>
      <c r="O217" s="2">
        <f t="shared" ca="1" si="25"/>
        <v>0.26315789473684209</v>
      </c>
      <c r="P217" s="2">
        <f t="shared" ca="1" si="26"/>
        <v>54.056482670089856</v>
      </c>
      <c r="Q217" s="2">
        <v>11.529400000000001</v>
      </c>
      <c r="R217" s="2">
        <f t="shared" si="27"/>
        <v>81.535121951219509</v>
      </c>
      <c r="S217" s="2">
        <v>15</v>
      </c>
      <c r="T217" s="2">
        <v>38</v>
      </c>
      <c r="U217" s="2">
        <v>95.8</v>
      </c>
      <c r="V217" s="2">
        <f t="shared" si="28"/>
        <v>37.907782842049734</v>
      </c>
      <c r="W217" s="2">
        <v>8</v>
      </c>
      <c r="X217" s="2">
        <f t="shared" si="29"/>
        <v>23.874672772626646</v>
      </c>
      <c r="Y217" s="2">
        <v>86</v>
      </c>
      <c r="Z217" s="2">
        <f t="shared" si="30"/>
        <v>35.91656999213594</v>
      </c>
      <c r="AA217" s="2">
        <f t="shared" si="31"/>
        <v>34.813790371058424</v>
      </c>
      <c r="AB217" s="2">
        <v>81.147999999999996</v>
      </c>
      <c r="AC217" s="2">
        <v>11</v>
      </c>
      <c r="AD217" s="2">
        <v>2</v>
      </c>
      <c r="AE217" s="2">
        <v>4</v>
      </c>
      <c r="AF217" s="2">
        <v>8</v>
      </c>
      <c r="AG217" s="2">
        <v>7</v>
      </c>
    </row>
    <row r="218" spans="1:33" x14ac:dyDescent="0.3">
      <c r="A218" s="2" t="s">
        <v>35</v>
      </c>
      <c r="B218" s="2" t="s">
        <v>632</v>
      </c>
      <c r="C218" s="2" t="s">
        <v>38</v>
      </c>
      <c r="D218" s="2" t="s">
        <v>633</v>
      </c>
      <c r="E218" s="2">
        <v>1997</v>
      </c>
      <c r="F218" s="2">
        <v>114</v>
      </c>
      <c r="G218" s="2">
        <v>39</v>
      </c>
      <c r="H218" s="2">
        <v>8</v>
      </c>
      <c r="I218" s="2">
        <v>53</v>
      </c>
      <c r="J218" s="2">
        <v>58</v>
      </c>
      <c r="K218" s="2">
        <f t="shared" ca="1" si="24"/>
        <v>29</v>
      </c>
      <c r="L218" s="2">
        <v>31</v>
      </c>
      <c r="M218" s="2">
        <v>60</v>
      </c>
      <c r="N218" s="2">
        <v>2512</v>
      </c>
      <c r="O218" s="2">
        <f t="shared" ca="1" si="25"/>
        <v>1.0689655172413792</v>
      </c>
      <c r="P218" s="2">
        <f t="shared" ca="1" si="26"/>
        <v>50.14821536600121</v>
      </c>
      <c r="Q218" s="2">
        <v>13.727399999999999</v>
      </c>
      <c r="R218" s="2">
        <f t="shared" si="27"/>
        <v>61.252105263157887</v>
      </c>
      <c r="S218" s="2">
        <v>31</v>
      </c>
      <c r="T218" s="2">
        <v>46</v>
      </c>
      <c r="U218" s="2">
        <v>58.935499999999998</v>
      </c>
      <c r="V218" s="2">
        <f t="shared" si="28"/>
        <v>42.743426395178005</v>
      </c>
      <c r="W218" s="2">
        <v>8</v>
      </c>
      <c r="X218" s="2">
        <f t="shared" si="29"/>
        <v>37.76241517699841</v>
      </c>
      <c r="Y218" s="2">
        <v>46</v>
      </c>
      <c r="Z218" s="2">
        <f t="shared" si="30"/>
        <v>37.76241517699841</v>
      </c>
      <c r="AA218" s="2">
        <f t="shared" si="31"/>
        <v>29.42788643446892</v>
      </c>
      <c r="AB218" s="2">
        <v>147.8005</v>
      </c>
      <c r="AC218" s="2">
        <v>23</v>
      </c>
      <c r="AD218" s="2">
        <v>2</v>
      </c>
      <c r="AE218" s="2">
        <v>5</v>
      </c>
      <c r="AF218" s="2">
        <v>19</v>
      </c>
      <c r="AG218" s="2">
        <v>21</v>
      </c>
    </row>
    <row r="219" spans="1:33" x14ac:dyDescent="0.3">
      <c r="A219" s="2" t="s">
        <v>35</v>
      </c>
      <c r="B219" s="2" t="s">
        <v>635</v>
      </c>
      <c r="C219" s="2" t="s">
        <v>99</v>
      </c>
      <c r="D219" s="2" t="s">
        <v>636</v>
      </c>
      <c r="E219" s="2">
        <v>2000</v>
      </c>
      <c r="F219" s="2">
        <v>73</v>
      </c>
      <c r="G219" s="2">
        <v>33</v>
      </c>
      <c r="H219" s="2">
        <v>13</v>
      </c>
      <c r="I219" s="2">
        <v>14</v>
      </c>
      <c r="J219" s="2">
        <v>26</v>
      </c>
      <c r="K219" s="2">
        <f t="shared" ca="1" si="24"/>
        <v>26</v>
      </c>
      <c r="L219" s="2">
        <v>23</v>
      </c>
      <c r="M219" s="2">
        <v>31</v>
      </c>
      <c r="N219" s="2">
        <v>5738</v>
      </c>
      <c r="O219" s="2">
        <f t="shared" ca="1" si="25"/>
        <v>0.88461538461538458</v>
      </c>
      <c r="P219" s="2">
        <f t="shared" ca="1" si="26"/>
        <v>46.006322444678617</v>
      </c>
      <c r="Q219" s="2">
        <v>16.5533</v>
      </c>
      <c r="R219" s="2">
        <f t="shared" si="27"/>
        <v>67.47027397260274</v>
      </c>
      <c r="S219" s="2">
        <v>23</v>
      </c>
      <c r="T219" s="2">
        <v>73</v>
      </c>
      <c r="U219" s="2">
        <v>242.04349999999999</v>
      </c>
      <c r="V219" s="2">
        <f t="shared" si="28"/>
        <v>74.612334771135536</v>
      </c>
      <c r="W219" s="2">
        <v>9</v>
      </c>
      <c r="X219" s="2">
        <f t="shared" si="29"/>
        <v>40.975602497095757</v>
      </c>
      <c r="Y219" s="2">
        <v>84</v>
      </c>
      <c r="Z219" s="2">
        <f t="shared" si="30"/>
        <v>43.954521951671822</v>
      </c>
      <c r="AA219" s="2">
        <f t="shared" si="31"/>
        <v>70.978873617436335</v>
      </c>
      <c r="AB219" s="2">
        <v>153.85380000000001</v>
      </c>
      <c r="AC219" s="2">
        <v>20</v>
      </c>
      <c r="AD219" s="2">
        <v>8</v>
      </c>
      <c r="AE219" s="2">
        <v>7</v>
      </c>
      <c r="AF219" s="2">
        <v>4</v>
      </c>
      <c r="AG219" s="2">
        <v>11</v>
      </c>
    </row>
    <row r="220" spans="1:33" x14ac:dyDescent="0.3">
      <c r="A220" s="2" t="s">
        <v>35</v>
      </c>
      <c r="B220" s="2" t="s">
        <v>1112</v>
      </c>
      <c r="C220" s="2" t="s">
        <v>55</v>
      </c>
      <c r="D220" s="2" t="s">
        <v>1113</v>
      </c>
      <c r="E220" s="2">
        <v>1995</v>
      </c>
      <c r="F220" s="2">
        <v>1</v>
      </c>
      <c r="G220" s="2">
        <v>0</v>
      </c>
      <c r="H220" s="2">
        <v>1</v>
      </c>
      <c r="I220" s="2">
        <v>1</v>
      </c>
      <c r="J220" s="2">
        <v>1</v>
      </c>
      <c r="K220" s="2">
        <f t="shared" ca="1" si="24"/>
        <v>31</v>
      </c>
      <c r="L220" s="2">
        <v>0</v>
      </c>
      <c r="M220" s="2">
        <v>0</v>
      </c>
      <c r="N220" s="2">
        <v>0</v>
      </c>
      <c r="O220" s="2">
        <f t="shared" ca="1" si="25"/>
        <v>0</v>
      </c>
      <c r="P220" s="2">
        <f t="shared" ca="1" si="26"/>
        <v>50</v>
      </c>
      <c r="Q220" s="2">
        <v>0</v>
      </c>
      <c r="R220" s="2">
        <f t="shared" si="27"/>
        <v>50</v>
      </c>
      <c r="S220" s="2">
        <v>0</v>
      </c>
      <c r="T220" s="2">
        <v>0</v>
      </c>
      <c r="U220" s="2">
        <v>0</v>
      </c>
      <c r="V220" s="2">
        <f t="shared" si="28"/>
        <v>0</v>
      </c>
      <c r="W220" s="2">
        <v>0</v>
      </c>
      <c r="X220" s="2">
        <f t="shared" si="29"/>
        <v>0</v>
      </c>
      <c r="Y220" s="2">
        <v>0</v>
      </c>
      <c r="Z220" s="2">
        <f t="shared" si="30"/>
        <v>0</v>
      </c>
      <c r="AA220" s="2">
        <f t="shared" si="31"/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 x14ac:dyDescent="0.3">
      <c r="A221" s="2" t="s">
        <v>35</v>
      </c>
      <c r="B221" s="2" t="s">
        <v>638</v>
      </c>
      <c r="C221" s="2" t="s">
        <v>38</v>
      </c>
      <c r="D221" s="2" t="s">
        <v>639</v>
      </c>
      <c r="E221" s="2">
        <v>1967</v>
      </c>
      <c r="F221" s="2">
        <v>142</v>
      </c>
      <c r="G221" s="2">
        <v>60</v>
      </c>
      <c r="H221" s="2">
        <v>37</v>
      </c>
      <c r="I221" s="2">
        <v>16</v>
      </c>
      <c r="J221" s="2">
        <v>41</v>
      </c>
      <c r="K221" s="2">
        <f t="shared" ca="1" si="24"/>
        <v>59</v>
      </c>
      <c r="L221" s="2">
        <v>31</v>
      </c>
      <c r="M221" s="2">
        <v>43</v>
      </c>
      <c r="N221" s="2">
        <v>41618</v>
      </c>
      <c r="O221" s="2">
        <f t="shared" ca="1" si="25"/>
        <v>0.52542372881355937</v>
      </c>
      <c r="P221" s="2">
        <f t="shared" ca="1" si="26"/>
        <v>32.412270231558843</v>
      </c>
      <c r="Q221" s="2">
        <v>66.391000000000005</v>
      </c>
      <c r="R221" s="2">
        <f t="shared" si="27"/>
        <v>78.796478873239437</v>
      </c>
      <c r="S221" s="2">
        <v>31</v>
      </c>
      <c r="T221" s="2">
        <v>142</v>
      </c>
      <c r="U221" s="2">
        <v>1332.3548000000001</v>
      </c>
      <c r="V221" s="2">
        <f t="shared" si="28"/>
        <v>203.23139226015257</v>
      </c>
      <c r="W221" s="2">
        <v>14</v>
      </c>
      <c r="X221" s="2">
        <f t="shared" si="29"/>
        <v>66.347569661593482</v>
      </c>
      <c r="Y221" s="2">
        <v>195</v>
      </c>
      <c r="Z221" s="2">
        <f t="shared" si="30"/>
        <v>77.749598069700653</v>
      </c>
      <c r="AA221" s="2">
        <f t="shared" si="31"/>
        <v>200.85317722157149</v>
      </c>
      <c r="AB221" s="2">
        <v>401.01119999999997</v>
      </c>
      <c r="AC221" s="2">
        <v>25</v>
      </c>
      <c r="AD221" s="2">
        <v>7</v>
      </c>
      <c r="AE221" s="2">
        <v>5</v>
      </c>
      <c r="AF221" s="2">
        <v>21</v>
      </c>
      <c r="AG221" s="2">
        <v>9</v>
      </c>
    </row>
    <row r="222" spans="1:33" x14ac:dyDescent="0.3">
      <c r="A222" s="2" t="s">
        <v>35</v>
      </c>
      <c r="B222" s="2" t="s">
        <v>641</v>
      </c>
      <c r="C222" s="2" t="s">
        <v>109</v>
      </c>
      <c r="D222" s="2" t="s">
        <v>642</v>
      </c>
      <c r="E222" s="2">
        <v>2008</v>
      </c>
      <c r="F222" s="2">
        <v>127</v>
      </c>
      <c r="G222" s="2">
        <v>11</v>
      </c>
      <c r="H222" s="2">
        <v>84</v>
      </c>
      <c r="I222" s="2">
        <v>57</v>
      </c>
      <c r="J222" s="2">
        <v>90</v>
      </c>
      <c r="K222" s="2">
        <f t="shared" ca="1" si="24"/>
        <v>18</v>
      </c>
      <c r="L222" s="2">
        <v>23</v>
      </c>
      <c r="M222" s="2">
        <v>35</v>
      </c>
      <c r="N222" s="2">
        <v>1915</v>
      </c>
      <c r="O222" s="2">
        <f t="shared" ca="1" si="25"/>
        <v>1.2777777777777777</v>
      </c>
      <c r="P222" s="2">
        <f t="shared" ca="1" si="26"/>
        <v>53.683289588801401</v>
      </c>
      <c r="Q222" s="2">
        <v>15.4727</v>
      </c>
      <c r="R222" s="2">
        <f t="shared" si="27"/>
        <v>64.860393700787412</v>
      </c>
      <c r="S222" s="2">
        <v>23</v>
      </c>
      <c r="T222" s="2">
        <v>43</v>
      </c>
      <c r="U222" s="2">
        <v>71.087000000000003</v>
      </c>
      <c r="V222" s="2">
        <f t="shared" si="28"/>
        <v>40.435145603793735</v>
      </c>
      <c r="W222" s="2">
        <v>8</v>
      </c>
      <c r="X222" s="2">
        <f t="shared" si="29"/>
        <v>31.448370387032774</v>
      </c>
      <c r="Y222" s="2">
        <v>61</v>
      </c>
      <c r="Z222" s="2">
        <f t="shared" si="30"/>
        <v>37.456641600656084</v>
      </c>
      <c r="AA222" s="2">
        <f t="shared" si="31"/>
        <v>33.256593331247863</v>
      </c>
      <c r="AB222" s="2">
        <v>114.5949</v>
      </c>
      <c r="AC222" s="2">
        <v>19</v>
      </c>
      <c r="AD222" s="2">
        <v>8</v>
      </c>
      <c r="AE222" s="2">
        <v>6</v>
      </c>
      <c r="AF222" s="2">
        <v>8</v>
      </c>
      <c r="AG222" s="2">
        <v>14</v>
      </c>
    </row>
    <row r="223" spans="1:33" x14ac:dyDescent="0.3">
      <c r="A223" s="2" t="s">
        <v>35</v>
      </c>
      <c r="B223" s="2" t="s">
        <v>644</v>
      </c>
      <c r="C223" s="2" t="s">
        <v>99</v>
      </c>
      <c r="D223" s="2" t="s">
        <v>645</v>
      </c>
      <c r="E223" s="2">
        <v>2009</v>
      </c>
      <c r="F223" s="2">
        <v>50</v>
      </c>
      <c r="G223" s="2">
        <v>12</v>
      </c>
      <c r="H223" s="2">
        <v>9</v>
      </c>
      <c r="I223" s="2">
        <v>25</v>
      </c>
      <c r="J223" s="2">
        <v>33</v>
      </c>
      <c r="K223" s="2">
        <f t="shared" ca="1" si="24"/>
        <v>17</v>
      </c>
      <c r="L223" s="2">
        <v>14</v>
      </c>
      <c r="M223" s="2">
        <v>16</v>
      </c>
      <c r="N223" s="2">
        <v>587</v>
      </c>
      <c r="O223" s="2">
        <f t="shared" ca="1" si="25"/>
        <v>0.82352941176470584</v>
      </c>
      <c r="P223" s="2">
        <f t="shared" ca="1" si="26"/>
        <v>60.247058823529414</v>
      </c>
      <c r="Q223" s="2">
        <v>6.2435</v>
      </c>
      <c r="R223" s="2">
        <f t="shared" si="27"/>
        <v>71.087000000000003</v>
      </c>
      <c r="S223" s="2">
        <v>14</v>
      </c>
      <c r="T223" s="2">
        <v>22</v>
      </c>
      <c r="U223" s="2">
        <v>30.571400000000001</v>
      </c>
      <c r="V223" s="2">
        <f t="shared" si="28"/>
        <v>20.688151198210051</v>
      </c>
      <c r="W223" s="2">
        <v>5</v>
      </c>
      <c r="X223" s="2">
        <f t="shared" si="29"/>
        <v>17.549928774784245</v>
      </c>
      <c r="Y223" s="2">
        <v>19.5</v>
      </c>
      <c r="Z223" s="2">
        <f t="shared" si="30"/>
        <v>16.522711641858304</v>
      </c>
      <c r="AA223" s="2">
        <f t="shared" si="31"/>
        <v>15.23153308107887</v>
      </c>
      <c r="AB223" s="2">
        <v>45.923900000000003</v>
      </c>
      <c r="AC223" s="2">
        <v>11</v>
      </c>
      <c r="AD223" s="2">
        <v>4</v>
      </c>
      <c r="AE223" s="2">
        <v>2</v>
      </c>
      <c r="AF223" s="2">
        <v>8</v>
      </c>
      <c r="AG223" s="2">
        <v>9</v>
      </c>
    </row>
    <row r="224" spans="1:33" x14ac:dyDescent="0.3">
      <c r="A224" s="2" t="s">
        <v>35</v>
      </c>
      <c r="B224" s="2" t="s">
        <v>647</v>
      </c>
      <c r="C224" s="2" t="s">
        <v>128</v>
      </c>
      <c r="D224" s="2" t="s">
        <v>648</v>
      </c>
      <c r="E224" s="2">
        <v>2013</v>
      </c>
      <c r="F224" s="2">
        <v>20</v>
      </c>
      <c r="G224" s="2">
        <v>0</v>
      </c>
      <c r="H224" s="2">
        <v>12</v>
      </c>
      <c r="I224" s="2">
        <v>8</v>
      </c>
      <c r="J224" s="2">
        <v>13</v>
      </c>
      <c r="K224" s="2">
        <f t="shared" ca="1" si="24"/>
        <v>13</v>
      </c>
      <c r="L224" s="2">
        <v>5</v>
      </c>
      <c r="M224" s="2">
        <v>1</v>
      </c>
      <c r="N224" s="2">
        <v>95</v>
      </c>
      <c r="O224" s="2">
        <f t="shared" ca="1" si="25"/>
        <v>0.38461538461538464</v>
      </c>
      <c r="P224" s="2">
        <f t="shared" ca="1" si="26"/>
        <v>59.423076923076927</v>
      </c>
      <c r="Q224" s="2">
        <v>5.0284000000000004</v>
      </c>
      <c r="R224" s="2">
        <f t="shared" si="27"/>
        <v>82.64200000000001</v>
      </c>
      <c r="S224" s="2">
        <v>5</v>
      </c>
      <c r="T224" s="2">
        <v>9</v>
      </c>
      <c r="U224" s="2">
        <v>17.2</v>
      </c>
      <c r="V224" s="2">
        <f t="shared" si="28"/>
        <v>9.2736184954957039</v>
      </c>
      <c r="W224" s="2">
        <v>2</v>
      </c>
      <c r="X224" s="2">
        <f t="shared" si="29"/>
        <v>6.7082039324993694</v>
      </c>
      <c r="Y224" s="2">
        <v>7</v>
      </c>
      <c r="Z224" s="2">
        <f t="shared" si="30"/>
        <v>5.9160797830996161</v>
      </c>
      <c r="AA224" s="2">
        <f t="shared" si="31"/>
        <v>7.810249675906654</v>
      </c>
      <c r="AB224" s="2">
        <v>12</v>
      </c>
      <c r="AC224" s="2">
        <v>4</v>
      </c>
      <c r="AD224" s="2">
        <v>2</v>
      </c>
      <c r="AE224" s="2">
        <v>0</v>
      </c>
      <c r="AF224" s="2">
        <v>1</v>
      </c>
      <c r="AG224" s="2">
        <v>3</v>
      </c>
    </row>
    <row r="225" spans="1:33" x14ac:dyDescent="0.3">
      <c r="A225" s="2" t="s">
        <v>35</v>
      </c>
      <c r="B225" s="2" t="s">
        <v>1114</v>
      </c>
      <c r="C225" s="2" t="s">
        <v>51</v>
      </c>
      <c r="D225" s="2" t="s">
        <v>1115</v>
      </c>
      <c r="E225" s="2">
        <v>2023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f t="shared" ca="1" si="24"/>
        <v>3</v>
      </c>
      <c r="L225" s="2">
        <v>0</v>
      </c>
      <c r="M225" s="2">
        <v>0</v>
      </c>
      <c r="N225" s="2">
        <v>0</v>
      </c>
      <c r="O225" s="2">
        <f t="shared" ca="1" si="25"/>
        <v>0</v>
      </c>
      <c r="P225" s="2">
        <f t="shared" ca="1" si="26"/>
        <v>0</v>
      </c>
      <c r="Q225" s="2">
        <v>0</v>
      </c>
      <c r="R225" s="2">
        <f t="shared" si="27"/>
        <v>0</v>
      </c>
      <c r="S225" s="2">
        <v>0</v>
      </c>
      <c r="T225" s="2">
        <v>0</v>
      </c>
      <c r="U225" s="2">
        <v>0</v>
      </c>
      <c r="V225" s="2">
        <f t="shared" si="28"/>
        <v>0</v>
      </c>
      <c r="W225" s="2">
        <v>0</v>
      </c>
      <c r="X225" s="2">
        <f t="shared" si="29"/>
        <v>0</v>
      </c>
      <c r="Y225" s="2">
        <v>0</v>
      </c>
      <c r="Z225" s="2">
        <f t="shared" si="30"/>
        <v>0</v>
      </c>
      <c r="AA225" s="2">
        <f t="shared" si="31"/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 x14ac:dyDescent="0.3">
      <c r="A226" s="2" t="s">
        <v>35</v>
      </c>
      <c r="B226" s="2" t="s">
        <v>650</v>
      </c>
      <c r="C226" s="2" t="s">
        <v>240</v>
      </c>
      <c r="D226" s="2" t="s">
        <v>651</v>
      </c>
      <c r="E226" s="2">
        <v>1985</v>
      </c>
      <c r="F226" s="2">
        <v>68</v>
      </c>
      <c r="G226" s="2">
        <v>1</v>
      </c>
      <c r="H226" s="2">
        <v>47</v>
      </c>
      <c r="I226" s="2">
        <v>37</v>
      </c>
      <c r="J226" s="2">
        <v>47</v>
      </c>
      <c r="K226" s="2">
        <f t="shared" ca="1" si="24"/>
        <v>41</v>
      </c>
      <c r="L226" s="2">
        <v>9</v>
      </c>
      <c r="M226" s="2">
        <v>9</v>
      </c>
      <c r="N226" s="2">
        <v>228</v>
      </c>
      <c r="O226" s="2">
        <f t="shared" ca="1" si="25"/>
        <v>0.21951219512195122</v>
      </c>
      <c r="P226" s="2">
        <f t="shared" ca="1" si="26"/>
        <v>47.969870875179339</v>
      </c>
      <c r="Q226" s="2">
        <v>5.7930999999999999</v>
      </c>
      <c r="R226" s="2">
        <f t="shared" si="27"/>
        <v>56.16632352941177</v>
      </c>
      <c r="S226" s="2">
        <v>9</v>
      </c>
      <c r="T226" s="2">
        <v>14</v>
      </c>
      <c r="U226" s="2">
        <v>20.555599999999998</v>
      </c>
      <c r="V226" s="2">
        <f t="shared" si="28"/>
        <v>13.601485213019936</v>
      </c>
      <c r="W226" s="2">
        <v>3</v>
      </c>
      <c r="X226" s="2">
        <f t="shared" si="29"/>
        <v>11.224972160321824</v>
      </c>
      <c r="Y226" s="2">
        <v>15</v>
      </c>
      <c r="Z226" s="2">
        <f t="shared" si="30"/>
        <v>11.61895003862225</v>
      </c>
      <c r="AA226" s="2">
        <f t="shared" si="31"/>
        <v>10.198058638780225</v>
      </c>
      <c r="AB226" s="2">
        <v>26.3629</v>
      </c>
      <c r="AC226" s="2">
        <v>7</v>
      </c>
      <c r="AD226" s="2">
        <v>2</v>
      </c>
      <c r="AE226" s="2">
        <v>3</v>
      </c>
      <c r="AF226" s="2">
        <v>1</v>
      </c>
      <c r="AG226" s="2">
        <v>4</v>
      </c>
    </row>
    <row r="227" spans="1:33" x14ac:dyDescent="0.3">
      <c r="A227" s="2" t="s">
        <v>35</v>
      </c>
      <c r="B227" s="2" t="s">
        <v>653</v>
      </c>
      <c r="C227" s="2" t="s">
        <v>277</v>
      </c>
      <c r="D227" s="2" t="s">
        <v>654</v>
      </c>
      <c r="E227" s="2">
        <v>2022</v>
      </c>
      <c r="F227" s="2">
        <v>3</v>
      </c>
      <c r="G227" s="2">
        <v>1</v>
      </c>
      <c r="H227" s="2">
        <v>1</v>
      </c>
      <c r="I227" s="2">
        <v>0</v>
      </c>
      <c r="J227" s="2">
        <v>1</v>
      </c>
      <c r="K227" s="2">
        <f t="shared" ca="1" si="24"/>
        <v>4</v>
      </c>
      <c r="L227" s="2">
        <v>2</v>
      </c>
      <c r="M227" s="2">
        <v>1</v>
      </c>
      <c r="N227" s="2">
        <v>94</v>
      </c>
      <c r="O227" s="2">
        <f t="shared" ca="1" si="25"/>
        <v>0.5</v>
      </c>
      <c r="P227" s="2">
        <f t="shared" ca="1" si="26"/>
        <v>96.666666666666671</v>
      </c>
      <c r="Q227" s="2">
        <v>4.8373999999999997</v>
      </c>
      <c r="R227" s="2">
        <f t="shared" si="27"/>
        <v>241.24666666666667</v>
      </c>
      <c r="S227" s="2">
        <v>2</v>
      </c>
      <c r="T227" s="2">
        <v>3</v>
      </c>
      <c r="U227" s="2">
        <v>47</v>
      </c>
      <c r="V227" s="2">
        <f t="shared" si="28"/>
        <v>9.6953597148326587</v>
      </c>
      <c r="W227" s="2">
        <v>1</v>
      </c>
      <c r="X227" s="2">
        <f t="shared" si="29"/>
        <v>2.4494897427831779</v>
      </c>
      <c r="Y227" s="2">
        <v>47</v>
      </c>
      <c r="Z227" s="2">
        <f t="shared" si="30"/>
        <v>9.6953597148326587</v>
      </c>
      <c r="AA227" s="2">
        <f t="shared" si="31"/>
        <v>9.4868329805051381</v>
      </c>
      <c r="AB227" s="2">
        <v>9.798</v>
      </c>
      <c r="AC227" s="2">
        <v>1</v>
      </c>
      <c r="AD227" s="2">
        <v>1</v>
      </c>
      <c r="AE227" s="2">
        <v>0</v>
      </c>
      <c r="AF227" s="2">
        <v>1</v>
      </c>
      <c r="AG227" s="2">
        <v>0</v>
      </c>
    </row>
    <row r="228" spans="1:33" x14ac:dyDescent="0.3">
      <c r="A228" s="2" t="s">
        <v>35</v>
      </c>
      <c r="B228" s="2" t="s">
        <v>656</v>
      </c>
      <c r="C228" s="2" t="s">
        <v>51</v>
      </c>
      <c r="D228" s="2" t="s">
        <v>657</v>
      </c>
      <c r="E228" s="2">
        <v>1980</v>
      </c>
      <c r="F228" s="2">
        <v>76</v>
      </c>
      <c r="G228" s="2">
        <v>56</v>
      </c>
      <c r="H228" s="2">
        <v>18</v>
      </c>
      <c r="I228" s="2">
        <v>5</v>
      </c>
      <c r="J228" s="2">
        <v>19</v>
      </c>
      <c r="K228" s="2">
        <f t="shared" ca="1" si="24"/>
        <v>46</v>
      </c>
      <c r="L228" s="2">
        <v>25</v>
      </c>
      <c r="M228" s="2">
        <v>43</v>
      </c>
      <c r="N228" s="2">
        <v>1777</v>
      </c>
      <c r="O228" s="2">
        <f t="shared" ca="1" si="25"/>
        <v>0.54347826086956519</v>
      </c>
      <c r="P228" s="2">
        <f t="shared" ca="1" si="26"/>
        <v>38.741418764302061</v>
      </c>
      <c r="Q228" s="2">
        <v>14.5017</v>
      </c>
      <c r="R228" s="2">
        <f t="shared" si="27"/>
        <v>57.107500000000002</v>
      </c>
      <c r="S228" s="2">
        <v>25</v>
      </c>
      <c r="T228" s="2">
        <v>41</v>
      </c>
      <c r="U228" s="2">
        <v>56.64</v>
      </c>
      <c r="V228" s="2">
        <f t="shared" si="28"/>
        <v>37.629775444453557</v>
      </c>
      <c r="W228" s="2">
        <v>7</v>
      </c>
      <c r="X228" s="2">
        <f t="shared" si="29"/>
        <v>32.015621187164243</v>
      </c>
      <c r="Y228" s="2">
        <v>46</v>
      </c>
      <c r="Z228" s="2">
        <f t="shared" si="30"/>
        <v>33.911649915626342</v>
      </c>
      <c r="AA228" s="2">
        <f t="shared" si="31"/>
        <v>28.124722220850465</v>
      </c>
      <c r="AB228" s="2">
        <v>113.59139999999999</v>
      </c>
      <c r="AC228" s="2">
        <v>11</v>
      </c>
      <c r="AD228" s="2">
        <v>6</v>
      </c>
      <c r="AE228" s="2">
        <v>3</v>
      </c>
      <c r="AF228" s="2">
        <v>22</v>
      </c>
      <c r="AG228" s="2">
        <v>2</v>
      </c>
    </row>
    <row r="229" spans="1:33" x14ac:dyDescent="0.3">
      <c r="A229" s="2" t="s">
        <v>35</v>
      </c>
      <c r="B229" s="2" t="s">
        <v>659</v>
      </c>
      <c r="C229" s="2" t="s">
        <v>74</v>
      </c>
      <c r="D229" s="2" t="s">
        <v>660</v>
      </c>
      <c r="E229" s="2">
        <v>2005</v>
      </c>
      <c r="F229" s="2">
        <v>189</v>
      </c>
      <c r="G229" s="2">
        <v>77</v>
      </c>
      <c r="H229" s="2">
        <v>48</v>
      </c>
      <c r="I229" s="2">
        <v>40</v>
      </c>
      <c r="J229" s="2">
        <v>56</v>
      </c>
      <c r="K229" s="2">
        <f t="shared" ca="1" si="24"/>
        <v>21</v>
      </c>
      <c r="L229" s="2">
        <v>33</v>
      </c>
      <c r="M229" s="2">
        <v>78</v>
      </c>
      <c r="N229" s="2">
        <v>3372</v>
      </c>
      <c r="O229" s="2">
        <f t="shared" ca="1" si="25"/>
        <v>1.5714285714285714</v>
      </c>
      <c r="P229" s="2">
        <f t="shared" ca="1" si="26"/>
        <v>29.032501889644742</v>
      </c>
      <c r="Q229" s="2">
        <v>18.150200000000002</v>
      </c>
      <c r="R229" s="2">
        <f t="shared" si="27"/>
        <v>37.804338624338619</v>
      </c>
      <c r="S229" s="2">
        <v>33</v>
      </c>
      <c r="T229" s="2">
        <v>52</v>
      </c>
      <c r="U229" s="2">
        <v>68.909099999999995</v>
      </c>
      <c r="V229" s="2">
        <f t="shared" si="28"/>
        <v>47.686479215811268</v>
      </c>
      <c r="W229" s="2">
        <v>9</v>
      </c>
      <c r="X229" s="2">
        <f t="shared" si="29"/>
        <v>41.42463035441596</v>
      </c>
      <c r="Y229" s="2">
        <v>49</v>
      </c>
      <c r="Z229" s="2">
        <f t="shared" si="30"/>
        <v>40.2119385257662</v>
      </c>
      <c r="AA229" s="2">
        <f t="shared" si="31"/>
        <v>34.423833313563435</v>
      </c>
      <c r="AB229" s="2">
        <v>164.62989999999999</v>
      </c>
      <c r="AC229" s="2">
        <v>22</v>
      </c>
      <c r="AD229" s="2">
        <v>7</v>
      </c>
      <c r="AE229" s="2">
        <v>11</v>
      </c>
      <c r="AF229" s="2">
        <v>24</v>
      </c>
      <c r="AG229" s="2">
        <v>15</v>
      </c>
    </row>
    <row r="230" spans="1:33" x14ac:dyDescent="0.3">
      <c r="A230" s="2" t="s">
        <v>35</v>
      </c>
      <c r="B230" s="2" t="s">
        <v>662</v>
      </c>
      <c r="C230" s="2" t="s">
        <v>109</v>
      </c>
      <c r="D230" s="2" t="s">
        <v>663</v>
      </c>
      <c r="E230" s="2">
        <v>2012</v>
      </c>
      <c r="F230" s="2">
        <v>16</v>
      </c>
      <c r="G230" s="2">
        <v>1</v>
      </c>
      <c r="H230" s="2">
        <v>2</v>
      </c>
      <c r="I230" s="2">
        <v>4</v>
      </c>
      <c r="J230" s="2">
        <v>4</v>
      </c>
      <c r="K230" s="2">
        <f t="shared" ca="1" si="24"/>
        <v>14</v>
      </c>
      <c r="L230" s="2">
        <v>8</v>
      </c>
      <c r="M230" s="2">
        <v>7</v>
      </c>
      <c r="N230" s="2">
        <v>255</v>
      </c>
      <c r="O230" s="2">
        <f t="shared" ca="1" si="25"/>
        <v>0.5714285714285714</v>
      </c>
      <c r="P230" s="2">
        <f t="shared" ca="1" si="26"/>
        <v>65.446428571428569</v>
      </c>
      <c r="Q230" s="2">
        <v>5.0149999999999997</v>
      </c>
      <c r="R230" s="2">
        <f t="shared" si="27"/>
        <v>93.21875</v>
      </c>
      <c r="S230" s="2">
        <v>8</v>
      </c>
      <c r="T230" s="2">
        <v>15</v>
      </c>
      <c r="U230" s="2">
        <v>28.375</v>
      </c>
      <c r="V230" s="2">
        <f t="shared" si="28"/>
        <v>15.066519173319364</v>
      </c>
      <c r="W230" s="2">
        <v>4</v>
      </c>
      <c r="X230" s="2">
        <f t="shared" si="29"/>
        <v>10.954451150103322</v>
      </c>
      <c r="Y230" s="2">
        <v>15.5</v>
      </c>
      <c r="Z230" s="2">
        <f t="shared" si="30"/>
        <v>11.135528725660043</v>
      </c>
      <c r="AA230" s="2">
        <f t="shared" si="31"/>
        <v>12.767145334803704</v>
      </c>
      <c r="AB230" s="2">
        <v>24.248699999999999</v>
      </c>
      <c r="AC230" s="2">
        <v>6</v>
      </c>
      <c r="AD230" s="2">
        <v>0</v>
      </c>
      <c r="AE230" s="2">
        <v>6</v>
      </c>
      <c r="AF230" s="2">
        <v>1</v>
      </c>
      <c r="AG230" s="2">
        <v>4</v>
      </c>
    </row>
    <row r="231" spans="1:33" x14ac:dyDescent="0.3">
      <c r="A231" s="2" t="s">
        <v>35</v>
      </c>
      <c r="B231" s="2" t="s">
        <v>665</v>
      </c>
      <c r="C231" s="2" t="s">
        <v>51</v>
      </c>
      <c r="D231" s="2" t="s">
        <v>666</v>
      </c>
      <c r="E231" s="2">
        <v>1978</v>
      </c>
      <c r="F231" s="2">
        <v>833</v>
      </c>
      <c r="G231" s="2">
        <v>301</v>
      </c>
      <c r="H231" s="2">
        <v>238</v>
      </c>
      <c r="I231" s="2">
        <v>150</v>
      </c>
      <c r="J231" s="2">
        <v>293</v>
      </c>
      <c r="K231" s="2">
        <f t="shared" ca="1" si="24"/>
        <v>48</v>
      </c>
      <c r="L231" s="2">
        <v>55</v>
      </c>
      <c r="M231" s="2">
        <v>261</v>
      </c>
      <c r="N231" s="2">
        <v>13568</v>
      </c>
      <c r="O231" s="2">
        <f t="shared" ca="1" si="25"/>
        <v>1.1458333333333333</v>
      </c>
      <c r="P231" s="2">
        <f t="shared" ca="1" si="26"/>
        <v>20.713785514205682</v>
      </c>
      <c r="Q231" s="2">
        <v>21.4316</v>
      </c>
      <c r="R231" s="2">
        <f t="shared" si="27"/>
        <v>23.149051620648258</v>
      </c>
      <c r="S231" s="2">
        <v>55</v>
      </c>
      <c r="T231" s="2">
        <v>98</v>
      </c>
      <c r="U231" s="2">
        <v>142.0909</v>
      </c>
      <c r="V231" s="2">
        <f t="shared" si="28"/>
        <v>88.402485824777571</v>
      </c>
      <c r="W231" s="2">
        <v>12</v>
      </c>
      <c r="X231" s="2">
        <f t="shared" si="29"/>
        <v>73.416619371910613</v>
      </c>
      <c r="Y231" s="2">
        <v>100</v>
      </c>
      <c r="Z231" s="2">
        <f t="shared" si="30"/>
        <v>74.16198487095663</v>
      </c>
      <c r="AA231" s="2">
        <f t="shared" si="31"/>
        <v>69.209822279789165</v>
      </c>
      <c r="AB231" s="2">
        <v>367.8655</v>
      </c>
      <c r="AC231" s="2">
        <v>35</v>
      </c>
      <c r="AD231" s="2">
        <v>19</v>
      </c>
      <c r="AE231" s="2">
        <v>19</v>
      </c>
      <c r="AF231" s="2">
        <v>44</v>
      </c>
      <c r="AG231" s="2">
        <v>22</v>
      </c>
    </row>
    <row r="232" spans="1:33" x14ac:dyDescent="0.3">
      <c r="A232" s="2" t="s">
        <v>35</v>
      </c>
      <c r="B232" s="2" t="s">
        <v>668</v>
      </c>
      <c r="C232" s="2" t="s">
        <v>287</v>
      </c>
      <c r="D232" s="2" t="s">
        <v>669</v>
      </c>
      <c r="E232" s="2">
        <v>2022</v>
      </c>
      <c r="F232" s="2">
        <v>19</v>
      </c>
      <c r="G232" s="2">
        <v>5</v>
      </c>
      <c r="H232" s="2">
        <v>3</v>
      </c>
      <c r="I232" s="2">
        <v>1</v>
      </c>
      <c r="J232" s="2">
        <v>3</v>
      </c>
      <c r="K232" s="2">
        <f t="shared" ca="1" si="24"/>
        <v>4</v>
      </c>
      <c r="L232" s="2">
        <v>6</v>
      </c>
      <c r="M232" s="2">
        <v>4</v>
      </c>
      <c r="N232" s="2">
        <v>87</v>
      </c>
      <c r="O232" s="2">
        <f t="shared" ca="1" si="25"/>
        <v>1.5</v>
      </c>
      <c r="P232" s="2">
        <f t="shared" ca="1" si="26"/>
        <v>44.736842105263165</v>
      </c>
      <c r="Q232" s="2">
        <v>4.8391000000000002</v>
      </c>
      <c r="R232" s="2">
        <f t="shared" si="27"/>
        <v>62.311052631578953</v>
      </c>
      <c r="S232" s="2">
        <v>6</v>
      </c>
      <c r="T232" s="2">
        <v>9</v>
      </c>
      <c r="U232" s="2">
        <v>13</v>
      </c>
      <c r="V232" s="2">
        <f t="shared" si="28"/>
        <v>8.8317608663278477</v>
      </c>
      <c r="W232" s="2">
        <v>3</v>
      </c>
      <c r="X232" s="2">
        <f t="shared" si="29"/>
        <v>7.3484692283495345</v>
      </c>
      <c r="Y232" s="2">
        <v>13</v>
      </c>
      <c r="Z232" s="2">
        <f t="shared" si="30"/>
        <v>8.8317608663278477</v>
      </c>
      <c r="AA232" s="2">
        <f t="shared" si="31"/>
        <v>6.4807406984078604</v>
      </c>
      <c r="AB232" s="2">
        <v>15.0665</v>
      </c>
      <c r="AC232" s="2">
        <v>4</v>
      </c>
      <c r="AD232" s="2">
        <v>1</v>
      </c>
      <c r="AE232" s="2">
        <v>3</v>
      </c>
      <c r="AF232" s="2">
        <v>3</v>
      </c>
      <c r="AG232" s="2">
        <v>0</v>
      </c>
    </row>
    <row r="233" spans="1:33" x14ac:dyDescent="0.3">
      <c r="A233" s="2" t="s">
        <v>35</v>
      </c>
      <c r="B233" s="2" t="s">
        <v>671</v>
      </c>
      <c r="C233" s="2" t="s">
        <v>240</v>
      </c>
      <c r="D233" s="2" t="s">
        <v>672</v>
      </c>
      <c r="E233" s="2">
        <v>2004</v>
      </c>
      <c r="F233" s="2">
        <v>38</v>
      </c>
      <c r="G233" s="2">
        <v>0</v>
      </c>
      <c r="H233" s="2">
        <v>20</v>
      </c>
      <c r="I233" s="2">
        <v>17</v>
      </c>
      <c r="J233" s="2">
        <v>27</v>
      </c>
      <c r="K233" s="2">
        <f t="shared" ca="1" si="24"/>
        <v>22</v>
      </c>
      <c r="L233" s="2">
        <v>3</v>
      </c>
      <c r="M233" s="2">
        <v>1</v>
      </c>
      <c r="N233" s="2">
        <v>37</v>
      </c>
      <c r="O233" s="2">
        <f t="shared" ca="1" si="25"/>
        <v>0.13636363636363635</v>
      </c>
      <c r="P233" s="2">
        <f t="shared" ca="1" si="26"/>
        <v>43.779904306220097</v>
      </c>
      <c r="Q233" s="2">
        <v>1.1763999999999999</v>
      </c>
      <c r="R233" s="2">
        <f t="shared" si="27"/>
        <v>46.516842105263166</v>
      </c>
      <c r="S233" s="2">
        <v>3</v>
      </c>
      <c r="T233" s="2">
        <v>5</v>
      </c>
      <c r="U233" s="2">
        <v>6.6666999999999996</v>
      </c>
      <c r="V233" s="2">
        <f t="shared" si="28"/>
        <v>4.4721471353254918</v>
      </c>
      <c r="W233" s="2">
        <v>2</v>
      </c>
      <c r="X233" s="2">
        <f t="shared" si="29"/>
        <v>3.872983346207417</v>
      </c>
      <c r="Y233" s="2">
        <v>5</v>
      </c>
      <c r="Z233" s="2">
        <f t="shared" si="30"/>
        <v>3.872983346207417</v>
      </c>
      <c r="AA233" s="2">
        <f t="shared" si="31"/>
        <v>3.3166398658883662</v>
      </c>
      <c r="AB233" s="2">
        <v>5.5678000000000001</v>
      </c>
      <c r="AC233" s="2">
        <v>2</v>
      </c>
      <c r="AD233" s="2">
        <v>1</v>
      </c>
      <c r="AE233" s="2">
        <v>3</v>
      </c>
      <c r="AF233" s="2">
        <v>0</v>
      </c>
      <c r="AG233" s="2">
        <v>2</v>
      </c>
    </row>
    <row r="234" spans="1:33" x14ac:dyDescent="0.3">
      <c r="A234" s="2" t="s">
        <v>35</v>
      </c>
      <c r="B234" s="2" t="s">
        <v>674</v>
      </c>
      <c r="C234" s="2" t="s">
        <v>240</v>
      </c>
      <c r="D234" s="2" t="s">
        <v>675</v>
      </c>
      <c r="E234" s="2">
        <v>2017</v>
      </c>
      <c r="F234" s="2">
        <v>18</v>
      </c>
      <c r="G234" s="2">
        <v>3</v>
      </c>
      <c r="H234" s="2">
        <v>6</v>
      </c>
      <c r="I234" s="2">
        <v>6</v>
      </c>
      <c r="J234" s="2">
        <v>9</v>
      </c>
      <c r="K234" s="2">
        <f t="shared" ca="1" si="24"/>
        <v>9</v>
      </c>
      <c r="L234" s="2">
        <v>2</v>
      </c>
      <c r="M234" s="2">
        <v>1</v>
      </c>
      <c r="N234" s="2">
        <v>44</v>
      </c>
      <c r="O234" s="2">
        <f t="shared" ca="1" si="25"/>
        <v>0.22222222222222221</v>
      </c>
      <c r="P234" s="2">
        <f t="shared" ca="1" si="26"/>
        <v>35.679012345679013</v>
      </c>
      <c r="Q234" s="2">
        <v>3.0207999999999999</v>
      </c>
      <c r="R234" s="2">
        <f t="shared" si="27"/>
        <v>51.226666666666667</v>
      </c>
      <c r="S234" s="2">
        <v>2</v>
      </c>
      <c r="T234" s="2">
        <v>6</v>
      </c>
      <c r="U234" s="2">
        <v>19</v>
      </c>
      <c r="V234" s="2">
        <f t="shared" si="28"/>
        <v>6.164414002968976</v>
      </c>
      <c r="W234" s="2">
        <v>1</v>
      </c>
      <c r="X234" s="2">
        <f t="shared" si="29"/>
        <v>3.4641016151377544</v>
      </c>
      <c r="Y234" s="2">
        <v>19</v>
      </c>
      <c r="Z234" s="2">
        <f t="shared" si="30"/>
        <v>6.164414002968976</v>
      </c>
      <c r="AA234" s="2">
        <f t="shared" si="31"/>
        <v>5.8309518948453007</v>
      </c>
      <c r="AB234" s="2">
        <v>6.4031000000000002</v>
      </c>
      <c r="AC234" s="2">
        <v>2</v>
      </c>
      <c r="AD234" s="2">
        <v>0</v>
      </c>
      <c r="AE234" s="2">
        <v>0</v>
      </c>
      <c r="AF234" s="2">
        <v>2</v>
      </c>
      <c r="AG234" s="2">
        <v>1</v>
      </c>
    </row>
    <row r="235" spans="1:33" x14ac:dyDescent="0.3">
      <c r="A235" s="2" t="s">
        <v>35</v>
      </c>
      <c r="B235" s="2" t="s">
        <v>1116</v>
      </c>
      <c r="C235" s="2" t="s">
        <v>91</v>
      </c>
      <c r="D235" s="2" t="s">
        <v>1117</v>
      </c>
      <c r="E235" s="2">
        <v>2026</v>
      </c>
      <c r="F235" s="2">
        <v>1</v>
      </c>
      <c r="G235" s="2">
        <v>0</v>
      </c>
      <c r="H235" s="2">
        <v>0</v>
      </c>
      <c r="I235" s="2">
        <v>0</v>
      </c>
      <c r="J235" s="2">
        <v>0</v>
      </c>
      <c r="K235" s="2">
        <f t="shared" ca="1" si="24"/>
        <v>1</v>
      </c>
      <c r="L235" s="2">
        <v>0</v>
      </c>
      <c r="M235" s="2">
        <v>0</v>
      </c>
      <c r="N235" s="2">
        <v>0</v>
      </c>
      <c r="O235" s="2">
        <f t="shared" ca="1" si="25"/>
        <v>0</v>
      </c>
      <c r="P235" s="2">
        <f t="shared" ca="1" si="26"/>
        <v>0</v>
      </c>
      <c r="Q235" s="2">
        <v>0</v>
      </c>
      <c r="R235" s="2">
        <f t="shared" si="27"/>
        <v>0</v>
      </c>
      <c r="S235" s="2">
        <v>0</v>
      </c>
      <c r="T235" s="2">
        <v>0</v>
      </c>
      <c r="U235" s="2">
        <v>0</v>
      </c>
      <c r="V235" s="2">
        <f t="shared" si="28"/>
        <v>0</v>
      </c>
      <c r="W235" s="2">
        <v>0</v>
      </c>
      <c r="X235" s="2">
        <f t="shared" si="29"/>
        <v>0</v>
      </c>
      <c r="Y235" s="2">
        <v>0</v>
      </c>
      <c r="Z235" s="2">
        <f t="shared" si="30"/>
        <v>0</v>
      </c>
      <c r="AA235" s="2">
        <f t="shared" si="31"/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 x14ac:dyDescent="0.3">
      <c r="A236" s="2" t="s">
        <v>35</v>
      </c>
      <c r="B236" s="2" t="s">
        <v>677</v>
      </c>
      <c r="C236" s="2" t="s">
        <v>51</v>
      </c>
      <c r="D236" s="2" t="s">
        <v>678</v>
      </c>
      <c r="E236" s="2">
        <v>1973</v>
      </c>
      <c r="F236" s="2">
        <v>31</v>
      </c>
      <c r="G236" s="2">
        <v>6</v>
      </c>
      <c r="H236" s="2">
        <v>13</v>
      </c>
      <c r="I236" s="2">
        <v>12</v>
      </c>
      <c r="J236" s="2">
        <v>23</v>
      </c>
      <c r="K236" s="2">
        <f t="shared" ca="1" si="24"/>
        <v>53</v>
      </c>
      <c r="L236" s="2">
        <v>12</v>
      </c>
      <c r="M236" s="2">
        <v>14</v>
      </c>
      <c r="N236" s="2">
        <v>969</v>
      </c>
      <c r="O236" s="2">
        <f t="shared" ca="1" si="25"/>
        <v>0.22641509433962265</v>
      </c>
      <c r="P236" s="2">
        <f t="shared" ca="1" si="26"/>
        <v>74.601339013998768</v>
      </c>
      <c r="Q236" s="2">
        <v>7.2999000000000001</v>
      </c>
      <c r="R236" s="2">
        <f t="shared" si="27"/>
        <v>97.419032258064505</v>
      </c>
      <c r="S236" s="2">
        <v>12</v>
      </c>
      <c r="T236" s="2">
        <v>31</v>
      </c>
      <c r="U236" s="2">
        <v>76.75</v>
      </c>
      <c r="V236" s="2">
        <f t="shared" si="28"/>
        <v>30.347981810987037</v>
      </c>
      <c r="W236" s="2">
        <v>6</v>
      </c>
      <c r="X236" s="2">
        <f t="shared" si="29"/>
        <v>19.28730152198591</v>
      </c>
      <c r="Y236" s="2">
        <v>46</v>
      </c>
      <c r="Z236" s="2">
        <f t="shared" si="30"/>
        <v>23.49468024894146</v>
      </c>
      <c r="AA236" s="2">
        <f t="shared" si="31"/>
        <v>27.874719729532707</v>
      </c>
      <c r="AB236" s="2">
        <v>58.847299999999997</v>
      </c>
      <c r="AC236" s="2">
        <v>12</v>
      </c>
      <c r="AD236" s="2">
        <v>8</v>
      </c>
      <c r="AE236" s="2">
        <v>2</v>
      </c>
      <c r="AF236" s="2">
        <v>2</v>
      </c>
      <c r="AG236" s="2">
        <v>5</v>
      </c>
    </row>
    <row r="237" spans="1:33" x14ac:dyDescent="0.3">
      <c r="A237" s="2" t="s">
        <v>35</v>
      </c>
      <c r="B237" s="2" t="s">
        <v>680</v>
      </c>
      <c r="C237" s="2" t="s">
        <v>43</v>
      </c>
      <c r="D237" s="2" t="s">
        <v>681</v>
      </c>
      <c r="E237" s="2">
        <v>1996</v>
      </c>
      <c r="F237" s="2">
        <v>119</v>
      </c>
      <c r="G237" s="2">
        <v>14</v>
      </c>
      <c r="H237" s="2">
        <v>75</v>
      </c>
      <c r="I237" s="2">
        <v>64</v>
      </c>
      <c r="J237" s="2">
        <v>78</v>
      </c>
      <c r="K237" s="2">
        <f t="shared" ca="1" si="24"/>
        <v>30</v>
      </c>
      <c r="L237" s="2">
        <v>15</v>
      </c>
      <c r="M237" s="2">
        <v>18</v>
      </c>
      <c r="N237" s="2">
        <v>931</v>
      </c>
      <c r="O237" s="2">
        <f t="shared" ca="1" si="25"/>
        <v>0.5</v>
      </c>
      <c r="P237" s="2">
        <f t="shared" ca="1" si="26"/>
        <v>44.621848739495803</v>
      </c>
      <c r="Q237" s="2">
        <v>9.1972000000000005</v>
      </c>
      <c r="R237" s="2">
        <f t="shared" si="27"/>
        <v>51.930420168067229</v>
      </c>
      <c r="S237" s="2">
        <v>15</v>
      </c>
      <c r="T237" s="2">
        <v>29</v>
      </c>
      <c r="U237" s="2">
        <v>49.7333</v>
      </c>
      <c r="V237" s="2">
        <f t="shared" si="28"/>
        <v>27.312991414343468</v>
      </c>
      <c r="W237" s="2">
        <v>5</v>
      </c>
      <c r="X237" s="2">
        <f t="shared" si="29"/>
        <v>20.85665361461421</v>
      </c>
      <c r="Y237" s="2">
        <v>23</v>
      </c>
      <c r="Z237" s="2">
        <f t="shared" si="30"/>
        <v>18.574175621006709</v>
      </c>
      <c r="AA237" s="2">
        <f t="shared" si="31"/>
        <v>22.82541346832517</v>
      </c>
      <c r="AB237" s="2">
        <v>57.853299999999997</v>
      </c>
      <c r="AC237" s="2">
        <v>13</v>
      </c>
      <c r="AD237" s="2">
        <v>5</v>
      </c>
      <c r="AE237" s="2">
        <v>5</v>
      </c>
      <c r="AF237" s="2">
        <v>5</v>
      </c>
      <c r="AG237" s="2">
        <v>8</v>
      </c>
    </row>
    <row r="238" spans="1:33" x14ac:dyDescent="0.3">
      <c r="A238" s="2" t="s">
        <v>35</v>
      </c>
      <c r="B238" s="2" t="s">
        <v>683</v>
      </c>
      <c r="C238" s="2" t="s">
        <v>277</v>
      </c>
      <c r="D238" s="2" t="s">
        <v>684</v>
      </c>
      <c r="E238" s="2">
        <v>1985</v>
      </c>
      <c r="F238" s="2">
        <v>114</v>
      </c>
      <c r="G238" s="2">
        <v>42</v>
      </c>
      <c r="H238" s="2">
        <v>43</v>
      </c>
      <c r="I238" s="2">
        <v>35</v>
      </c>
      <c r="J238" s="2">
        <v>48</v>
      </c>
      <c r="K238" s="2">
        <f t="shared" ca="1" si="24"/>
        <v>41</v>
      </c>
      <c r="L238" s="2">
        <v>17</v>
      </c>
      <c r="M238" s="2">
        <v>29</v>
      </c>
      <c r="N238" s="2">
        <v>1385</v>
      </c>
      <c r="O238" s="2">
        <f t="shared" ca="1" si="25"/>
        <v>0.41463414634146339</v>
      </c>
      <c r="P238" s="2">
        <f t="shared" ca="1" si="26"/>
        <v>32.644415917843382</v>
      </c>
      <c r="Q238" s="2">
        <v>10.376799999999999</v>
      </c>
      <c r="R238" s="2">
        <f t="shared" si="27"/>
        <v>41.38315789473684</v>
      </c>
      <c r="S238" s="2">
        <v>17</v>
      </c>
      <c r="T238" s="2">
        <v>35</v>
      </c>
      <c r="U238" s="2">
        <v>63.058799999999998</v>
      </c>
      <c r="V238" s="2">
        <f t="shared" si="28"/>
        <v>32.741404979017013</v>
      </c>
      <c r="W238" s="2">
        <v>6</v>
      </c>
      <c r="X238" s="2">
        <f t="shared" si="29"/>
        <v>24.392621835300936</v>
      </c>
      <c r="Y238" s="2">
        <v>35</v>
      </c>
      <c r="Z238" s="2">
        <f t="shared" si="30"/>
        <v>24.392621835300936</v>
      </c>
      <c r="AA238" s="2">
        <f t="shared" si="31"/>
        <v>27.982130011848632</v>
      </c>
      <c r="AB238" s="2">
        <v>73.348500000000001</v>
      </c>
      <c r="AC238" s="2">
        <v>12</v>
      </c>
      <c r="AD238" s="2">
        <v>5</v>
      </c>
      <c r="AE238" s="2">
        <v>6</v>
      </c>
      <c r="AF238" s="2">
        <v>13</v>
      </c>
      <c r="AG238" s="2">
        <v>8</v>
      </c>
    </row>
    <row r="239" spans="1:33" x14ac:dyDescent="0.3">
      <c r="A239" s="2" t="s">
        <v>35</v>
      </c>
      <c r="B239" s="2" t="s">
        <v>686</v>
      </c>
      <c r="C239" s="2" t="s">
        <v>227</v>
      </c>
      <c r="D239" s="2" t="s">
        <v>687</v>
      </c>
      <c r="E239" s="2">
        <v>1974</v>
      </c>
      <c r="F239" s="2">
        <v>177</v>
      </c>
      <c r="G239" s="2">
        <v>22</v>
      </c>
      <c r="H239" s="2">
        <v>64</v>
      </c>
      <c r="I239" s="2">
        <v>59</v>
      </c>
      <c r="J239" s="2">
        <v>100</v>
      </c>
      <c r="K239" s="2">
        <f t="shared" ca="1" si="24"/>
        <v>52</v>
      </c>
      <c r="L239" s="2">
        <v>24</v>
      </c>
      <c r="M239" s="2">
        <v>51</v>
      </c>
      <c r="N239" s="2">
        <v>2057</v>
      </c>
      <c r="O239" s="2">
        <f t="shared" ca="1" si="25"/>
        <v>0.46153846153846156</v>
      </c>
      <c r="P239" s="2">
        <f t="shared" ca="1" si="26"/>
        <v>40.825727944372012</v>
      </c>
      <c r="Q239" s="2">
        <v>7.9249999999999998</v>
      </c>
      <c r="R239" s="2">
        <f t="shared" si="27"/>
        <v>45.042372881355931</v>
      </c>
      <c r="S239" s="2">
        <v>24</v>
      </c>
      <c r="T239" s="2">
        <v>40</v>
      </c>
      <c r="U239" s="2">
        <v>55.208300000000001</v>
      </c>
      <c r="V239" s="2">
        <f t="shared" si="28"/>
        <v>36.400538457555818</v>
      </c>
      <c r="W239" s="2">
        <v>8</v>
      </c>
      <c r="X239" s="2">
        <f t="shared" si="29"/>
        <v>30.983866769659336</v>
      </c>
      <c r="Y239" s="2">
        <v>33.5</v>
      </c>
      <c r="Z239" s="2">
        <f t="shared" si="30"/>
        <v>28.354893757515651</v>
      </c>
      <c r="AA239" s="2">
        <f t="shared" si="31"/>
        <v>27.367849751122208</v>
      </c>
      <c r="AB239" s="2">
        <v>105.87730000000001</v>
      </c>
      <c r="AC239" s="2">
        <v>20</v>
      </c>
      <c r="AD239" s="2">
        <v>13</v>
      </c>
      <c r="AE239" s="2">
        <v>0</v>
      </c>
      <c r="AF239" s="2">
        <v>13</v>
      </c>
      <c r="AG239" s="2">
        <v>16</v>
      </c>
    </row>
    <row r="240" spans="1:33" x14ac:dyDescent="0.3">
      <c r="A240" s="2" t="s">
        <v>35</v>
      </c>
      <c r="B240" s="2" t="s">
        <v>1118</v>
      </c>
      <c r="C240" s="2" t="s">
        <v>99</v>
      </c>
      <c r="D240" s="2" t="s">
        <v>1119</v>
      </c>
      <c r="E240" s="2">
        <v>2008</v>
      </c>
      <c r="F240" s="2">
        <v>2</v>
      </c>
      <c r="G240" s="2">
        <v>0</v>
      </c>
      <c r="H240" s="2">
        <v>0</v>
      </c>
      <c r="I240" s="2">
        <v>1</v>
      </c>
      <c r="J240" s="2">
        <v>1</v>
      </c>
      <c r="K240" s="2">
        <f t="shared" ca="1" si="24"/>
        <v>18</v>
      </c>
      <c r="L240" s="2">
        <v>0</v>
      </c>
      <c r="M240" s="2">
        <v>0</v>
      </c>
      <c r="N240" s="2">
        <v>0</v>
      </c>
      <c r="O240" s="2">
        <f t="shared" ca="1" si="25"/>
        <v>0</v>
      </c>
      <c r="P240" s="2">
        <f t="shared" ca="1" si="26"/>
        <v>25</v>
      </c>
      <c r="Q240" s="2">
        <v>0</v>
      </c>
      <c r="R240" s="2">
        <f t="shared" si="27"/>
        <v>25</v>
      </c>
      <c r="S240" s="2">
        <v>0</v>
      </c>
      <c r="T240" s="2">
        <v>0</v>
      </c>
      <c r="U240" s="2">
        <v>0</v>
      </c>
      <c r="V240" s="2">
        <f t="shared" si="28"/>
        <v>0</v>
      </c>
      <c r="W240" s="2">
        <v>0</v>
      </c>
      <c r="X240" s="2">
        <f t="shared" si="29"/>
        <v>0</v>
      </c>
      <c r="Y240" s="2">
        <v>0</v>
      </c>
      <c r="Z240" s="2">
        <f t="shared" si="30"/>
        <v>0</v>
      </c>
      <c r="AA240" s="2">
        <f t="shared" si="31"/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 x14ac:dyDescent="0.3">
      <c r="A241" s="2" t="s">
        <v>35</v>
      </c>
      <c r="B241" s="2" t="s">
        <v>689</v>
      </c>
      <c r="C241" s="2" t="s">
        <v>150</v>
      </c>
      <c r="D241" s="2" t="s">
        <v>690</v>
      </c>
      <c r="E241" s="2">
        <v>2010</v>
      </c>
      <c r="F241" s="2">
        <v>93</v>
      </c>
      <c r="G241" s="2">
        <v>26</v>
      </c>
      <c r="H241" s="2">
        <v>6</v>
      </c>
      <c r="I241" s="2">
        <v>47</v>
      </c>
      <c r="J241" s="2">
        <v>50</v>
      </c>
      <c r="K241" s="2">
        <f t="shared" ca="1" si="24"/>
        <v>16</v>
      </c>
      <c r="L241" s="2">
        <v>23</v>
      </c>
      <c r="M241" s="2">
        <v>39</v>
      </c>
      <c r="N241" s="2">
        <v>1219</v>
      </c>
      <c r="O241" s="2">
        <f t="shared" ca="1" si="25"/>
        <v>1.4375</v>
      </c>
      <c r="P241" s="2">
        <f t="shared" ca="1" si="26"/>
        <v>50.362903225806448</v>
      </c>
      <c r="Q241" s="2">
        <v>11.938599999999999</v>
      </c>
      <c r="R241" s="2">
        <f t="shared" si="27"/>
        <v>61.654408602150532</v>
      </c>
      <c r="S241" s="2">
        <v>23</v>
      </c>
      <c r="T241" s="2">
        <v>32</v>
      </c>
      <c r="U241" s="2">
        <v>38.695700000000002</v>
      </c>
      <c r="V241" s="2">
        <f t="shared" si="28"/>
        <v>29.832886216388786</v>
      </c>
      <c r="W241" s="2">
        <v>6</v>
      </c>
      <c r="X241" s="2">
        <f t="shared" si="29"/>
        <v>27.129319932501073</v>
      </c>
      <c r="Y241" s="2">
        <v>36</v>
      </c>
      <c r="Z241" s="2">
        <f t="shared" si="30"/>
        <v>28.774989139876318</v>
      </c>
      <c r="AA241" s="2">
        <f t="shared" si="31"/>
        <v>19.000028947346372</v>
      </c>
      <c r="AB241" s="2">
        <v>93.4452</v>
      </c>
      <c r="AC241" s="2">
        <v>19</v>
      </c>
      <c r="AD241" s="2">
        <v>1</v>
      </c>
      <c r="AE241" s="2">
        <v>0</v>
      </c>
      <c r="AF241" s="2">
        <v>10</v>
      </c>
      <c r="AG241" s="2">
        <v>19</v>
      </c>
    </row>
    <row r="242" spans="1:33" x14ac:dyDescent="0.3">
      <c r="A242" s="2" t="s">
        <v>35</v>
      </c>
      <c r="B242" s="2" t="s">
        <v>692</v>
      </c>
      <c r="C242" s="2" t="s">
        <v>55</v>
      </c>
      <c r="D242" s="2" t="s">
        <v>693</v>
      </c>
      <c r="E242" s="2">
        <v>2022</v>
      </c>
      <c r="F242" s="2">
        <v>4</v>
      </c>
      <c r="G242" s="2">
        <v>0</v>
      </c>
      <c r="H242" s="2">
        <v>0</v>
      </c>
      <c r="I242" s="2">
        <v>0</v>
      </c>
      <c r="J242" s="2">
        <v>0</v>
      </c>
      <c r="K242" s="2">
        <f t="shared" ca="1" si="24"/>
        <v>4</v>
      </c>
      <c r="L242" s="2">
        <v>1</v>
      </c>
      <c r="M242" s="2">
        <v>0</v>
      </c>
      <c r="N242" s="2">
        <v>1</v>
      </c>
      <c r="O242" s="2">
        <f t="shared" ca="1" si="25"/>
        <v>0.25</v>
      </c>
      <c r="P242" s="2">
        <f t="shared" ca="1" si="26"/>
        <v>31.25</v>
      </c>
      <c r="Q242" s="2">
        <v>0.5</v>
      </c>
      <c r="R242" s="2">
        <f t="shared" si="27"/>
        <v>37.5</v>
      </c>
      <c r="S242" s="2">
        <v>1</v>
      </c>
      <c r="T242" s="2">
        <v>1</v>
      </c>
      <c r="U242" s="2">
        <v>1</v>
      </c>
      <c r="V242" s="2">
        <f t="shared" si="28"/>
        <v>1</v>
      </c>
      <c r="W242" s="2">
        <v>1</v>
      </c>
      <c r="X242" s="2">
        <f t="shared" si="29"/>
        <v>1</v>
      </c>
      <c r="Y242" s="2">
        <v>1</v>
      </c>
      <c r="Z242" s="2">
        <f t="shared" si="30"/>
        <v>1</v>
      </c>
      <c r="AA242" s="2">
        <f t="shared" si="31"/>
        <v>0</v>
      </c>
      <c r="AB242" s="2">
        <v>1</v>
      </c>
      <c r="AC242" s="2">
        <v>0</v>
      </c>
      <c r="AD242" s="2">
        <v>0</v>
      </c>
      <c r="AE242" s="2">
        <v>0</v>
      </c>
      <c r="AF242" s="2">
        <v>1</v>
      </c>
      <c r="AG242" s="2">
        <v>0</v>
      </c>
    </row>
    <row r="243" spans="1:33" x14ac:dyDescent="0.3">
      <c r="A243" s="2" t="s">
        <v>35</v>
      </c>
      <c r="B243" s="2" t="s">
        <v>695</v>
      </c>
      <c r="C243" s="2" t="s">
        <v>43</v>
      </c>
      <c r="D243" s="2" t="s">
        <v>696</v>
      </c>
      <c r="E243" s="2">
        <v>1996</v>
      </c>
      <c r="F243" s="2">
        <v>9</v>
      </c>
      <c r="G243" s="2">
        <v>0</v>
      </c>
      <c r="H243" s="2">
        <v>8</v>
      </c>
      <c r="I243" s="2">
        <v>8</v>
      </c>
      <c r="J243" s="2">
        <v>8</v>
      </c>
      <c r="K243" s="2">
        <f t="shared" ca="1" si="24"/>
        <v>30</v>
      </c>
      <c r="L243" s="2">
        <v>1</v>
      </c>
      <c r="M243" s="2">
        <v>1</v>
      </c>
      <c r="N243" s="2">
        <v>19</v>
      </c>
      <c r="O243" s="2">
        <f t="shared" ca="1" si="25"/>
        <v>3.3333333333333333E-2</v>
      </c>
      <c r="P243" s="2">
        <f t="shared" ca="1" si="26"/>
        <v>55.925925925925924</v>
      </c>
      <c r="Q243" s="2">
        <v>0.90449999999999997</v>
      </c>
      <c r="R243" s="2">
        <f t="shared" si="27"/>
        <v>65.605555555555554</v>
      </c>
      <c r="S243" s="2">
        <v>1</v>
      </c>
      <c r="T243" s="2">
        <v>4</v>
      </c>
      <c r="U243" s="2">
        <v>18</v>
      </c>
      <c r="V243" s="2">
        <f t="shared" si="28"/>
        <v>4.2426406871192848</v>
      </c>
      <c r="W243" s="2">
        <v>1</v>
      </c>
      <c r="X243" s="2">
        <f t="shared" si="29"/>
        <v>2</v>
      </c>
      <c r="Y243" s="2">
        <v>18</v>
      </c>
      <c r="Z243" s="2">
        <f t="shared" si="30"/>
        <v>4.2426406871192848</v>
      </c>
      <c r="AA243" s="2">
        <f t="shared" si="31"/>
        <v>4.1231056256176606</v>
      </c>
      <c r="AB243" s="2">
        <v>4.2426000000000004</v>
      </c>
      <c r="AC243" s="2">
        <v>1</v>
      </c>
      <c r="AD243" s="2">
        <v>0</v>
      </c>
      <c r="AE243" s="2">
        <v>0</v>
      </c>
      <c r="AF243" s="2">
        <v>0</v>
      </c>
      <c r="AG243" s="2">
        <v>1</v>
      </c>
    </row>
    <row r="244" spans="1:33" x14ac:dyDescent="0.3">
      <c r="A244" s="2" t="s">
        <v>35</v>
      </c>
      <c r="B244" s="2" t="s">
        <v>698</v>
      </c>
      <c r="C244" s="2" t="s">
        <v>74</v>
      </c>
      <c r="D244" s="2" t="s">
        <v>699</v>
      </c>
      <c r="E244" s="2">
        <v>1978</v>
      </c>
      <c r="F244" s="2">
        <v>373</v>
      </c>
      <c r="G244" s="2">
        <v>150</v>
      </c>
      <c r="H244" s="2">
        <v>80</v>
      </c>
      <c r="I244" s="2">
        <v>53</v>
      </c>
      <c r="J244" s="2">
        <v>100</v>
      </c>
      <c r="K244" s="2">
        <f t="shared" ca="1" si="24"/>
        <v>48</v>
      </c>
      <c r="L244" s="2">
        <v>60</v>
      </c>
      <c r="M244" s="2">
        <v>183</v>
      </c>
      <c r="N244" s="2">
        <v>14189</v>
      </c>
      <c r="O244" s="2">
        <f t="shared" ca="1" si="25"/>
        <v>1.25</v>
      </c>
      <c r="P244" s="2">
        <f t="shared" ca="1" si="26"/>
        <v>25.804289544235925</v>
      </c>
      <c r="Q244" s="2">
        <v>42.144300000000001</v>
      </c>
      <c r="R244" s="2">
        <f t="shared" si="27"/>
        <v>36.767908847184984</v>
      </c>
      <c r="S244" s="2">
        <v>59</v>
      </c>
      <c r="T244" s="2">
        <v>111</v>
      </c>
      <c r="U244" s="2">
        <v>175.71190000000001</v>
      </c>
      <c r="V244" s="2">
        <f t="shared" si="28"/>
        <v>101.81847622116528</v>
      </c>
      <c r="W244" s="2">
        <v>14</v>
      </c>
      <c r="X244" s="2">
        <f t="shared" si="29"/>
        <v>80.925892024740762</v>
      </c>
      <c r="Y244" s="2">
        <v>116</v>
      </c>
      <c r="Z244" s="2">
        <f t="shared" si="30"/>
        <v>82.728471519785742</v>
      </c>
      <c r="AA244" s="2">
        <f t="shared" si="31"/>
        <v>82.981938396255856</v>
      </c>
      <c r="AB244" s="2">
        <v>432.47770000000003</v>
      </c>
      <c r="AC244" s="2">
        <v>35</v>
      </c>
      <c r="AD244" s="2">
        <v>18</v>
      </c>
      <c r="AE244" s="2">
        <v>18</v>
      </c>
      <c r="AF244" s="2">
        <v>47</v>
      </c>
      <c r="AG244" s="2">
        <v>13</v>
      </c>
    </row>
    <row r="245" spans="1:33" x14ac:dyDescent="0.3">
      <c r="A245" s="2" t="s">
        <v>35</v>
      </c>
      <c r="B245" s="2" t="s">
        <v>701</v>
      </c>
      <c r="C245" s="2" t="s">
        <v>128</v>
      </c>
      <c r="D245" s="2" t="s">
        <v>702</v>
      </c>
      <c r="E245" s="2">
        <v>2012</v>
      </c>
      <c r="F245" s="2">
        <v>49</v>
      </c>
      <c r="G245" s="2">
        <v>12</v>
      </c>
      <c r="H245" s="2">
        <v>11</v>
      </c>
      <c r="I245" s="2">
        <v>17</v>
      </c>
      <c r="J245" s="2">
        <v>23</v>
      </c>
      <c r="K245" s="2">
        <f t="shared" ca="1" si="24"/>
        <v>14</v>
      </c>
      <c r="L245" s="2">
        <v>16</v>
      </c>
      <c r="M245" s="2">
        <v>18</v>
      </c>
      <c r="N245" s="2">
        <v>669</v>
      </c>
      <c r="O245" s="2">
        <f t="shared" ca="1" si="25"/>
        <v>1.1428571428571428</v>
      </c>
      <c r="P245" s="2">
        <f t="shared" ca="1" si="26"/>
        <v>56.005830903790091</v>
      </c>
      <c r="Q245" s="2">
        <v>8.7585999999999995</v>
      </c>
      <c r="R245" s="2">
        <f t="shared" si="27"/>
        <v>71.548163265306115</v>
      </c>
      <c r="S245" s="2">
        <v>16</v>
      </c>
      <c r="T245" s="2">
        <v>25</v>
      </c>
      <c r="U245" s="2">
        <v>37.1875</v>
      </c>
      <c r="V245" s="2">
        <f t="shared" si="28"/>
        <v>24.392621835300936</v>
      </c>
      <c r="W245" s="2">
        <v>5</v>
      </c>
      <c r="X245" s="2">
        <f t="shared" si="29"/>
        <v>20</v>
      </c>
      <c r="Y245" s="2">
        <v>25.5</v>
      </c>
      <c r="Z245" s="2">
        <f t="shared" si="30"/>
        <v>20.199009876724155</v>
      </c>
      <c r="AA245" s="2">
        <f t="shared" si="31"/>
        <v>18.411952639521967</v>
      </c>
      <c r="AB245" s="2">
        <v>58.0259</v>
      </c>
      <c r="AC245" s="2">
        <v>13</v>
      </c>
      <c r="AD245" s="2">
        <v>2</v>
      </c>
      <c r="AE245" s="2">
        <v>2</v>
      </c>
      <c r="AF245" s="2">
        <v>6</v>
      </c>
      <c r="AG245" s="2">
        <v>11</v>
      </c>
    </row>
    <row r="246" spans="1:33" x14ac:dyDescent="0.3">
      <c r="A246" s="2" t="s">
        <v>35</v>
      </c>
      <c r="B246" s="2" t="s">
        <v>704</v>
      </c>
      <c r="C246" s="2" t="s">
        <v>43</v>
      </c>
      <c r="D246" s="2" t="s">
        <v>705</v>
      </c>
      <c r="E246" s="2">
        <v>2020</v>
      </c>
      <c r="F246" s="2">
        <v>2</v>
      </c>
      <c r="G246" s="2">
        <v>0</v>
      </c>
      <c r="H246" s="2">
        <v>1</v>
      </c>
      <c r="I246" s="2">
        <v>0</v>
      </c>
      <c r="J246" s="2">
        <v>1</v>
      </c>
      <c r="K246" s="2">
        <f t="shared" ca="1" si="24"/>
        <v>6</v>
      </c>
      <c r="L246" s="2">
        <v>2</v>
      </c>
      <c r="M246" s="2">
        <v>0</v>
      </c>
      <c r="N246" s="2">
        <v>6</v>
      </c>
      <c r="O246" s="2">
        <f t="shared" ca="1" si="25"/>
        <v>0.33333333333333331</v>
      </c>
      <c r="P246" s="2">
        <f t="shared" ca="1" si="26"/>
        <v>141.66666666666669</v>
      </c>
      <c r="Q246" s="2">
        <v>1.0855999999999999</v>
      </c>
      <c r="R246" s="2">
        <f t="shared" si="27"/>
        <v>179.28</v>
      </c>
      <c r="S246" s="2">
        <v>2</v>
      </c>
      <c r="T246" s="2">
        <v>2</v>
      </c>
      <c r="U246" s="2">
        <v>3</v>
      </c>
      <c r="V246" s="2">
        <f t="shared" si="28"/>
        <v>2.4494897427831779</v>
      </c>
      <c r="W246" s="2">
        <v>1</v>
      </c>
      <c r="X246" s="2">
        <f t="shared" si="29"/>
        <v>2</v>
      </c>
      <c r="Y246" s="2">
        <v>3</v>
      </c>
      <c r="Z246" s="2">
        <f t="shared" si="30"/>
        <v>2.4494897427831779</v>
      </c>
      <c r="AA246" s="2">
        <f t="shared" si="31"/>
        <v>1.4142135623730951</v>
      </c>
      <c r="AB246" s="2">
        <v>3</v>
      </c>
      <c r="AC246" s="2">
        <v>1</v>
      </c>
      <c r="AD246" s="2">
        <v>1</v>
      </c>
      <c r="AE246" s="2">
        <v>1</v>
      </c>
      <c r="AF246" s="2">
        <v>0</v>
      </c>
      <c r="AG246" s="2">
        <v>0</v>
      </c>
    </row>
    <row r="247" spans="1:33" x14ac:dyDescent="0.3">
      <c r="A247" s="2" t="s">
        <v>35</v>
      </c>
      <c r="B247" s="2" t="s">
        <v>707</v>
      </c>
      <c r="C247" s="2" t="s">
        <v>38</v>
      </c>
      <c r="D247" s="2" t="s">
        <v>708</v>
      </c>
      <c r="E247" s="2">
        <v>1917</v>
      </c>
      <c r="F247" s="2">
        <v>274</v>
      </c>
      <c r="G247" s="2">
        <v>31</v>
      </c>
      <c r="H247" s="2">
        <v>73</v>
      </c>
      <c r="I247" s="2">
        <v>94</v>
      </c>
      <c r="J247" s="2">
        <v>130</v>
      </c>
      <c r="K247" s="2">
        <f t="shared" ca="1" si="24"/>
        <v>109</v>
      </c>
      <c r="L247" s="2">
        <v>49</v>
      </c>
      <c r="M247" s="2">
        <v>112</v>
      </c>
      <c r="N247" s="2">
        <v>6308</v>
      </c>
      <c r="O247" s="2">
        <f t="shared" ca="1" si="25"/>
        <v>0.44954128440366975</v>
      </c>
      <c r="P247" s="2">
        <f t="shared" ca="1" si="26"/>
        <v>40.638518716935643</v>
      </c>
      <c r="Q247" s="2">
        <v>20.831</v>
      </c>
      <c r="R247" s="2">
        <f t="shared" si="27"/>
        <v>48.077007299270072</v>
      </c>
      <c r="S247" s="2">
        <v>49</v>
      </c>
      <c r="T247" s="2">
        <v>72</v>
      </c>
      <c r="U247" s="2">
        <v>91.795900000000003</v>
      </c>
      <c r="V247" s="2">
        <f t="shared" si="28"/>
        <v>67.06712383873338</v>
      </c>
      <c r="W247" s="2">
        <v>10</v>
      </c>
      <c r="X247" s="2">
        <f t="shared" si="29"/>
        <v>59.396969619669989</v>
      </c>
      <c r="Y247" s="2">
        <v>77</v>
      </c>
      <c r="Z247" s="2">
        <f t="shared" si="30"/>
        <v>61.424750711744856</v>
      </c>
      <c r="AA247" s="2">
        <f t="shared" si="31"/>
        <v>45.793002740593458</v>
      </c>
      <c r="AB247" s="2">
        <v>294.03059999999999</v>
      </c>
      <c r="AC247" s="2">
        <v>44</v>
      </c>
      <c r="AD247" s="2">
        <v>10</v>
      </c>
      <c r="AE247" s="2">
        <v>11</v>
      </c>
      <c r="AF247" s="2">
        <v>15</v>
      </c>
      <c r="AG247" s="2">
        <v>42</v>
      </c>
    </row>
    <row r="248" spans="1:33" x14ac:dyDescent="0.3">
      <c r="A248" s="2" t="s">
        <v>35</v>
      </c>
      <c r="B248" s="2" t="s">
        <v>710</v>
      </c>
      <c r="C248" s="2" t="s">
        <v>38</v>
      </c>
      <c r="D248" s="2" t="s">
        <v>711</v>
      </c>
      <c r="E248" s="2">
        <v>2012</v>
      </c>
      <c r="F248" s="2">
        <v>12</v>
      </c>
      <c r="G248" s="2">
        <v>1</v>
      </c>
      <c r="H248" s="2">
        <v>8</v>
      </c>
      <c r="I248" s="2">
        <v>2</v>
      </c>
      <c r="J248" s="2">
        <v>8</v>
      </c>
      <c r="K248" s="2">
        <f t="shared" ca="1" si="24"/>
        <v>14</v>
      </c>
      <c r="L248" s="2">
        <v>2</v>
      </c>
      <c r="M248" s="2">
        <v>1</v>
      </c>
      <c r="N248" s="2">
        <v>19</v>
      </c>
      <c r="O248" s="2">
        <f t="shared" ca="1" si="25"/>
        <v>0.14285714285714285</v>
      </c>
      <c r="P248" s="2">
        <f t="shared" ca="1" si="26"/>
        <v>50.357142857142868</v>
      </c>
      <c r="Q248" s="2">
        <v>1.0437000000000001</v>
      </c>
      <c r="R248" s="2">
        <f t="shared" si="27"/>
        <v>57.864166666666677</v>
      </c>
      <c r="S248" s="2">
        <v>2</v>
      </c>
      <c r="T248" s="2">
        <v>4</v>
      </c>
      <c r="U248" s="2">
        <v>6.5</v>
      </c>
      <c r="V248" s="2">
        <f t="shared" si="28"/>
        <v>3.6055512754639891</v>
      </c>
      <c r="W248" s="2">
        <v>1</v>
      </c>
      <c r="X248" s="2">
        <f t="shared" si="29"/>
        <v>2.8284271247461903</v>
      </c>
      <c r="Y248" s="2">
        <v>6.5</v>
      </c>
      <c r="Z248" s="2">
        <f t="shared" si="30"/>
        <v>3.6055512754639891</v>
      </c>
      <c r="AA248" s="2">
        <f t="shared" si="31"/>
        <v>3</v>
      </c>
      <c r="AB248" s="2">
        <v>4</v>
      </c>
      <c r="AC248" s="2">
        <v>1</v>
      </c>
      <c r="AD248" s="2">
        <v>2</v>
      </c>
      <c r="AE248" s="2">
        <v>2</v>
      </c>
      <c r="AF248" s="2">
        <v>0</v>
      </c>
      <c r="AG248" s="2">
        <v>0</v>
      </c>
    </row>
    <row r="249" spans="1:33" x14ac:dyDescent="0.3">
      <c r="A249" s="2" t="s">
        <v>35</v>
      </c>
      <c r="B249" s="2" t="s">
        <v>713</v>
      </c>
      <c r="C249" s="2" t="s">
        <v>74</v>
      </c>
      <c r="D249" s="2" t="s">
        <v>714</v>
      </c>
      <c r="E249" s="2">
        <v>2015</v>
      </c>
      <c r="F249" s="2">
        <v>44</v>
      </c>
      <c r="G249" s="2">
        <v>10</v>
      </c>
      <c r="H249" s="2">
        <v>18</v>
      </c>
      <c r="I249" s="2">
        <v>16</v>
      </c>
      <c r="J249" s="2">
        <v>22</v>
      </c>
      <c r="K249" s="2">
        <f t="shared" ca="1" si="24"/>
        <v>11</v>
      </c>
      <c r="L249" s="2">
        <v>10</v>
      </c>
      <c r="M249" s="2">
        <v>10</v>
      </c>
      <c r="N249" s="2">
        <v>328</v>
      </c>
      <c r="O249" s="2">
        <f t="shared" ca="1" si="25"/>
        <v>0.90909090909090906</v>
      </c>
      <c r="P249" s="2">
        <f t="shared" ca="1" si="26"/>
        <v>47.520661157024797</v>
      </c>
      <c r="Q249" s="2">
        <v>10.327999999999999</v>
      </c>
      <c r="R249" s="2">
        <f t="shared" si="27"/>
        <v>68.927272727272737</v>
      </c>
      <c r="S249" s="2">
        <v>15</v>
      </c>
      <c r="T249" s="2">
        <v>24</v>
      </c>
      <c r="U249" s="2">
        <v>33.533299999999997</v>
      </c>
      <c r="V249" s="2">
        <f t="shared" si="28"/>
        <v>22.42765034505398</v>
      </c>
      <c r="W249" s="2">
        <v>6</v>
      </c>
      <c r="X249" s="2">
        <f t="shared" si="29"/>
        <v>18.973665961010276</v>
      </c>
      <c r="Y249" s="2">
        <v>29</v>
      </c>
      <c r="Z249" s="2">
        <f t="shared" si="30"/>
        <v>20.85665361461421</v>
      </c>
      <c r="AA249" s="2">
        <f t="shared" si="31"/>
        <v>16.673317006522726</v>
      </c>
      <c r="AB249" s="2">
        <v>55.650700000000001</v>
      </c>
      <c r="AC249" s="2">
        <v>12</v>
      </c>
      <c r="AD249" s="2">
        <v>6</v>
      </c>
      <c r="AE249" s="2">
        <v>4</v>
      </c>
      <c r="AF249" s="2">
        <v>7</v>
      </c>
      <c r="AG249" s="2">
        <v>10</v>
      </c>
    </row>
    <row r="250" spans="1:33" x14ac:dyDescent="0.3">
      <c r="A250" s="2" t="s">
        <v>35</v>
      </c>
      <c r="B250" s="2" t="s">
        <v>716</v>
      </c>
      <c r="C250" s="2" t="s">
        <v>150</v>
      </c>
      <c r="D250" s="2" t="s">
        <v>717</v>
      </c>
      <c r="E250" s="2">
        <v>1990</v>
      </c>
      <c r="F250" s="2">
        <v>107</v>
      </c>
      <c r="G250" s="2">
        <v>29</v>
      </c>
      <c r="H250" s="2">
        <v>30</v>
      </c>
      <c r="I250" s="2">
        <v>49</v>
      </c>
      <c r="J250" s="2">
        <v>70</v>
      </c>
      <c r="K250" s="2">
        <f t="shared" ca="1" si="24"/>
        <v>36</v>
      </c>
      <c r="L250" s="2">
        <v>21</v>
      </c>
      <c r="M250" s="2">
        <v>41</v>
      </c>
      <c r="N250" s="2">
        <v>1525</v>
      </c>
      <c r="O250" s="2">
        <f t="shared" ca="1" si="25"/>
        <v>0.58333333333333337</v>
      </c>
      <c r="P250" s="2">
        <f t="shared" ca="1" si="26"/>
        <v>50.171339563862929</v>
      </c>
      <c r="Q250" s="2">
        <v>10.1014</v>
      </c>
      <c r="R250" s="2">
        <f t="shared" si="27"/>
        <v>59.066728971962618</v>
      </c>
      <c r="S250" s="2">
        <v>21</v>
      </c>
      <c r="T250" s="2">
        <v>36</v>
      </c>
      <c r="U250" s="2">
        <v>53.666699999999999</v>
      </c>
      <c r="V250" s="2">
        <f t="shared" si="28"/>
        <v>33.570831088908122</v>
      </c>
      <c r="W250" s="2">
        <v>6</v>
      </c>
      <c r="X250" s="2">
        <f t="shared" si="29"/>
        <v>27.495454169735041</v>
      </c>
      <c r="Y250" s="2">
        <v>37</v>
      </c>
      <c r="Z250" s="2">
        <f t="shared" si="30"/>
        <v>27.874719729532707</v>
      </c>
      <c r="AA250" s="2">
        <f t="shared" si="31"/>
        <v>26.191615070476278</v>
      </c>
      <c r="AB250" s="2">
        <v>88.943799999999996</v>
      </c>
      <c r="AC250" s="2">
        <v>17</v>
      </c>
      <c r="AD250" s="2">
        <v>9</v>
      </c>
      <c r="AE250" s="2">
        <v>6</v>
      </c>
      <c r="AF250" s="2">
        <v>9</v>
      </c>
      <c r="AG250" s="2">
        <v>13</v>
      </c>
    </row>
    <row r="251" spans="1:33" x14ac:dyDescent="0.3">
      <c r="A251" s="2" t="s">
        <v>35</v>
      </c>
      <c r="B251" s="2" t="s">
        <v>719</v>
      </c>
      <c r="C251" s="2" t="s">
        <v>51</v>
      </c>
      <c r="D251" s="2" t="s">
        <v>720</v>
      </c>
      <c r="E251" s="2">
        <v>2004</v>
      </c>
      <c r="F251" s="2">
        <v>18</v>
      </c>
      <c r="G251" s="2">
        <v>3</v>
      </c>
      <c r="H251" s="2">
        <v>6</v>
      </c>
      <c r="I251" s="2">
        <v>4</v>
      </c>
      <c r="J251" s="2">
        <v>6</v>
      </c>
      <c r="K251" s="2">
        <f t="shared" ca="1" si="24"/>
        <v>22</v>
      </c>
      <c r="L251" s="2">
        <v>2</v>
      </c>
      <c r="M251" s="2">
        <v>2</v>
      </c>
      <c r="N251" s="2">
        <v>114</v>
      </c>
      <c r="O251" s="2">
        <f t="shared" ca="1" si="25"/>
        <v>9.0909090909090912E-2</v>
      </c>
      <c r="P251" s="2">
        <f t="shared" ca="1" si="26"/>
        <v>26.616161616161616</v>
      </c>
      <c r="Q251" s="2">
        <v>2.2467000000000001</v>
      </c>
      <c r="R251" s="2">
        <f t="shared" si="27"/>
        <v>38.592777777777776</v>
      </c>
      <c r="S251" s="2">
        <v>2</v>
      </c>
      <c r="T251" s="2">
        <v>10</v>
      </c>
      <c r="U251" s="2">
        <v>56</v>
      </c>
      <c r="V251" s="2">
        <f t="shared" si="28"/>
        <v>10.583005244258363</v>
      </c>
      <c r="W251" s="2">
        <v>2</v>
      </c>
      <c r="X251" s="2">
        <f t="shared" si="29"/>
        <v>4.4721359549995796</v>
      </c>
      <c r="Y251" s="2">
        <v>56</v>
      </c>
      <c r="Z251" s="2">
        <f t="shared" si="30"/>
        <v>10.583005244258363</v>
      </c>
      <c r="AA251" s="2">
        <f t="shared" si="31"/>
        <v>10.392304845413264</v>
      </c>
      <c r="AB251" s="2">
        <v>12.4499</v>
      </c>
      <c r="AC251" s="2">
        <v>2</v>
      </c>
      <c r="AD251" s="2">
        <v>0</v>
      </c>
      <c r="AE251" s="2">
        <v>0</v>
      </c>
      <c r="AF251" s="2">
        <v>2</v>
      </c>
      <c r="AG251" s="2">
        <v>1</v>
      </c>
    </row>
    <row r="252" spans="1:33" x14ac:dyDescent="0.3">
      <c r="A252" s="2" t="s">
        <v>35</v>
      </c>
      <c r="B252" s="2" t="s">
        <v>1120</v>
      </c>
      <c r="C252" s="2" t="s">
        <v>38</v>
      </c>
      <c r="D252" s="2" t="s">
        <v>1121</v>
      </c>
      <c r="E252" s="2">
        <v>2018</v>
      </c>
      <c r="F252" s="2">
        <v>1</v>
      </c>
      <c r="G252" s="2">
        <v>0</v>
      </c>
      <c r="H252" s="2">
        <v>0</v>
      </c>
      <c r="I252" s="2">
        <v>0</v>
      </c>
      <c r="J252" s="2">
        <v>0</v>
      </c>
      <c r="K252" s="2">
        <f t="shared" ca="1" si="24"/>
        <v>8</v>
      </c>
      <c r="L252" s="2">
        <v>0</v>
      </c>
      <c r="M252" s="2">
        <v>0</v>
      </c>
      <c r="N252" s="2">
        <v>0</v>
      </c>
      <c r="O252" s="2">
        <f t="shared" ca="1" si="25"/>
        <v>0</v>
      </c>
      <c r="P252" s="2">
        <f t="shared" ca="1" si="26"/>
        <v>0</v>
      </c>
      <c r="Q252" s="2">
        <v>0</v>
      </c>
      <c r="R252" s="2">
        <f t="shared" si="27"/>
        <v>0</v>
      </c>
      <c r="S252" s="2">
        <v>0</v>
      </c>
      <c r="T252" s="2">
        <v>0</v>
      </c>
      <c r="U252" s="2">
        <v>0</v>
      </c>
      <c r="V252" s="2">
        <f t="shared" si="28"/>
        <v>0</v>
      </c>
      <c r="W252" s="2">
        <v>0</v>
      </c>
      <c r="X252" s="2">
        <f t="shared" si="29"/>
        <v>0</v>
      </c>
      <c r="Y252" s="2">
        <v>0</v>
      </c>
      <c r="Z252" s="2">
        <f t="shared" si="30"/>
        <v>0</v>
      </c>
      <c r="AA252" s="2">
        <f t="shared" si="31"/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</row>
    <row r="253" spans="1:33" x14ac:dyDescent="0.3">
      <c r="A253" s="2" t="s">
        <v>35</v>
      </c>
      <c r="B253" s="2" t="s">
        <v>722</v>
      </c>
      <c r="C253" s="2" t="s">
        <v>99</v>
      </c>
      <c r="D253" s="2" t="s">
        <v>723</v>
      </c>
      <c r="E253" s="2">
        <v>2009</v>
      </c>
      <c r="F253" s="2">
        <v>92</v>
      </c>
      <c r="G253" s="2">
        <v>50</v>
      </c>
      <c r="H253" s="2">
        <v>12</v>
      </c>
      <c r="I253" s="2">
        <v>20</v>
      </c>
      <c r="J253" s="2">
        <v>32</v>
      </c>
      <c r="K253" s="2">
        <f t="shared" ca="1" si="24"/>
        <v>17</v>
      </c>
      <c r="L253" s="2">
        <v>35</v>
      </c>
      <c r="M253" s="2">
        <v>59</v>
      </c>
      <c r="N253" s="2">
        <v>3402</v>
      </c>
      <c r="O253" s="2">
        <f t="shared" ca="1" si="25"/>
        <v>2.0588235294117645</v>
      </c>
      <c r="P253" s="2">
        <f t="shared" ca="1" si="26"/>
        <v>52.23785166240409</v>
      </c>
      <c r="Q253" s="2">
        <v>17.6313</v>
      </c>
      <c r="R253" s="2">
        <f t="shared" si="27"/>
        <v>69.164456521739126</v>
      </c>
      <c r="S253" s="2">
        <v>35</v>
      </c>
      <c r="T253" s="2">
        <v>57</v>
      </c>
      <c r="U253" s="2">
        <v>82.6</v>
      </c>
      <c r="V253" s="2">
        <f t="shared" si="28"/>
        <v>53.768020235080257</v>
      </c>
      <c r="W253" s="2">
        <v>9</v>
      </c>
      <c r="X253" s="2">
        <f t="shared" si="29"/>
        <v>44.665422868254588</v>
      </c>
      <c r="Y253" s="2">
        <v>71</v>
      </c>
      <c r="Z253" s="2">
        <f t="shared" si="30"/>
        <v>49.849774322458067</v>
      </c>
      <c r="AA253" s="2">
        <f t="shared" si="31"/>
        <v>40.8166632639171</v>
      </c>
      <c r="AB253" s="2">
        <v>191.5959</v>
      </c>
      <c r="AC253" s="2">
        <v>23</v>
      </c>
      <c r="AD253" s="2">
        <v>9</v>
      </c>
      <c r="AE253" s="2">
        <v>10</v>
      </c>
      <c r="AF253" s="2">
        <v>19</v>
      </c>
      <c r="AG253" s="2">
        <v>11</v>
      </c>
    </row>
    <row r="254" spans="1:33" x14ac:dyDescent="0.3">
      <c r="A254" s="2" t="s">
        <v>35</v>
      </c>
      <c r="B254" s="2" t="s">
        <v>725</v>
      </c>
      <c r="C254" s="2" t="s">
        <v>38</v>
      </c>
      <c r="D254" s="2" t="s">
        <v>726</v>
      </c>
      <c r="E254" s="2">
        <v>2012</v>
      </c>
      <c r="F254" s="2">
        <v>7</v>
      </c>
      <c r="G254" s="2">
        <v>0</v>
      </c>
      <c r="H254" s="2">
        <v>7</v>
      </c>
      <c r="I254" s="2">
        <v>7</v>
      </c>
      <c r="J254" s="2">
        <v>7</v>
      </c>
      <c r="K254" s="2">
        <f t="shared" ca="1" si="24"/>
        <v>14</v>
      </c>
      <c r="L254" s="2">
        <v>2</v>
      </c>
      <c r="M254" s="2">
        <v>0</v>
      </c>
      <c r="N254" s="2">
        <v>8</v>
      </c>
      <c r="O254" s="2">
        <f t="shared" ca="1" si="25"/>
        <v>0.14285714285714285</v>
      </c>
      <c r="P254" s="2">
        <f t="shared" ca="1" si="26"/>
        <v>80.612244897959187</v>
      </c>
      <c r="Q254" s="2">
        <v>1.1726000000000001</v>
      </c>
      <c r="R254" s="2">
        <f t="shared" si="27"/>
        <v>95.322857142857146</v>
      </c>
      <c r="S254" s="2">
        <v>2</v>
      </c>
      <c r="T254" s="2">
        <v>2</v>
      </c>
      <c r="U254" s="2">
        <v>3</v>
      </c>
      <c r="V254" s="2">
        <f t="shared" si="28"/>
        <v>2.4494897427831779</v>
      </c>
      <c r="W254" s="2">
        <v>1</v>
      </c>
      <c r="X254" s="2">
        <f t="shared" si="29"/>
        <v>2</v>
      </c>
      <c r="Y254" s="2">
        <v>3</v>
      </c>
      <c r="Z254" s="2">
        <f t="shared" si="30"/>
        <v>2.4494897427831779</v>
      </c>
      <c r="AA254" s="2">
        <f t="shared" si="31"/>
        <v>1.4142135623730951</v>
      </c>
      <c r="AB254" s="2">
        <v>3</v>
      </c>
      <c r="AC254" s="2">
        <v>2</v>
      </c>
      <c r="AD254" s="2">
        <v>0</v>
      </c>
      <c r="AE254" s="2">
        <v>0</v>
      </c>
      <c r="AF254" s="2">
        <v>0</v>
      </c>
      <c r="AG254" s="2">
        <v>2</v>
      </c>
    </row>
    <row r="255" spans="1:33" x14ac:dyDescent="0.3">
      <c r="A255" s="2" t="s">
        <v>35</v>
      </c>
      <c r="B255" s="2" t="s">
        <v>728</v>
      </c>
      <c r="C255" s="2" t="s">
        <v>38</v>
      </c>
      <c r="D255" s="2" t="s">
        <v>729</v>
      </c>
      <c r="E255" s="2">
        <v>1972</v>
      </c>
      <c r="F255" s="2">
        <v>83</v>
      </c>
      <c r="G255" s="2">
        <v>10</v>
      </c>
      <c r="H255" s="2">
        <v>11</v>
      </c>
      <c r="I255" s="2">
        <v>25</v>
      </c>
      <c r="J255" s="2">
        <v>33</v>
      </c>
      <c r="K255" s="2">
        <f t="shared" ca="1" si="24"/>
        <v>54</v>
      </c>
      <c r="L255" s="2">
        <v>23</v>
      </c>
      <c r="M255" s="2">
        <v>36</v>
      </c>
      <c r="N255" s="2">
        <v>1623</v>
      </c>
      <c r="O255" s="2">
        <f t="shared" ca="1" si="25"/>
        <v>0.42592592592592593</v>
      </c>
      <c r="P255" s="2">
        <f t="shared" ca="1" si="26"/>
        <v>46.898705934850511</v>
      </c>
      <c r="Q255" s="2">
        <v>12.0671</v>
      </c>
      <c r="R255" s="2">
        <f t="shared" si="27"/>
        <v>60.92421686746988</v>
      </c>
      <c r="S255" s="2">
        <v>23</v>
      </c>
      <c r="T255" s="2">
        <v>39</v>
      </c>
      <c r="U255" s="2">
        <v>56.217399999999998</v>
      </c>
      <c r="V255" s="2">
        <f t="shared" si="28"/>
        <v>35.958311973728691</v>
      </c>
      <c r="W255" s="2">
        <v>8</v>
      </c>
      <c r="X255" s="2">
        <f t="shared" si="29"/>
        <v>29.949958263743873</v>
      </c>
      <c r="Y255" s="2">
        <v>42</v>
      </c>
      <c r="Z255" s="2">
        <f t="shared" si="30"/>
        <v>31.080540535840107</v>
      </c>
      <c r="AA255" s="2">
        <f t="shared" si="31"/>
        <v>27.640553540043296</v>
      </c>
      <c r="AB255" s="2">
        <v>104.61839999999999</v>
      </c>
      <c r="AC255" s="2">
        <v>15</v>
      </c>
      <c r="AD255" s="2">
        <v>3</v>
      </c>
      <c r="AE255" s="2">
        <v>10</v>
      </c>
      <c r="AF255" s="2">
        <v>13</v>
      </c>
      <c r="AG255" s="2">
        <v>12</v>
      </c>
    </row>
    <row r="256" spans="1:33" x14ac:dyDescent="0.3">
      <c r="A256" s="2" t="s">
        <v>35</v>
      </c>
      <c r="B256" s="2" t="s">
        <v>731</v>
      </c>
      <c r="C256" s="2" t="s">
        <v>55</v>
      </c>
      <c r="D256" s="2" t="s">
        <v>732</v>
      </c>
      <c r="E256" s="2">
        <v>2015</v>
      </c>
      <c r="F256" s="2">
        <v>12</v>
      </c>
      <c r="G256" s="2">
        <v>0</v>
      </c>
      <c r="H256" s="2">
        <v>12</v>
      </c>
      <c r="I256" s="2">
        <v>12</v>
      </c>
      <c r="J256" s="2">
        <v>12</v>
      </c>
      <c r="K256" s="2">
        <f t="shared" ca="1" si="24"/>
        <v>11</v>
      </c>
      <c r="L256" s="2">
        <v>2</v>
      </c>
      <c r="M256" s="2">
        <v>0</v>
      </c>
      <c r="N256" s="2">
        <v>11</v>
      </c>
      <c r="O256" s="2">
        <f t="shared" ca="1" si="25"/>
        <v>0.18181818181818182</v>
      </c>
      <c r="P256" s="2">
        <f t="shared" ca="1" si="26"/>
        <v>68.181818181818187</v>
      </c>
      <c r="Q256" s="2">
        <v>0.97589999999999999</v>
      </c>
      <c r="R256" s="2">
        <f t="shared" si="27"/>
        <v>74.799166666666665</v>
      </c>
      <c r="S256" s="2">
        <v>2</v>
      </c>
      <c r="T256" s="2">
        <v>3</v>
      </c>
      <c r="U256" s="2">
        <v>5</v>
      </c>
      <c r="V256" s="2">
        <f t="shared" si="28"/>
        <v>3.1622776601683795</v>
      </c>
      <c r="W256" s="2">
        <v>1</v>
      </c>
      <c r="X256" s="2">
        <f t="shared" si="29"/>
        <v>2.4494897427831779</v>
      </c>
      <c r="Y256" s="2">
        <v>5</v>
      </c>
      <c r="Z256" s="2">
        <f t="shared" si="30"/>
        <v>3.1622776601683795</v>
      </c>
      <c r="AA256" s="2">
        <f t="shared" si="31"/>
        <v>2.4494897427831779</v>
      </c>
      <c r="AB256" s="2">
        <v>3.4641000000000002</v>
      </c>
      <c r="AC256" s="2">
        <v>2</v>
      </c>
      <c r="AD256" s="2">
        <v>0</v>
      </c>
      <c r="AE256" s="2">
        <v>0</v>
      </c>
      <c r="AF256" s="2">
        <v>0</v>
      </c>
      <c r="AG256" s="2">
        <v>2</v>
      </c>
    </row>
    <row r="257" spans="1:33" x14ac:dyDescent="0.3">
      <c r="A257" s="2" t="s">
        <v>35</v>
      </c>
      <c r="B257" s="2" t="s">
        <v>734</v>
      </c>
      <c r="C257" s="2" t="s">
        <v>55</v>
      </c>
      <c r="D257" s="2" t="s">
        <v>735</v>
      </c>
      <c r="E257" s="2">
        <v>2005</v>
      </c>
      <c r="F257" s="2">
        <v>17</v>
      </c>
      <c r="G257" s="2">
        <v>0</v>
      </c>
      <c r="H257" s="2">
        <v>15</v>
      </c>
      <c r="I257" s="2">
        <v>14</v>
      </c>
      <c r="J257" s="2">
        <v>15</v>
      </c>
      <c r="K257" s="2">
        <f t="shared" ca="1" si="24"/>
        <v>21</v>
      </c>
      <c r="L257" s="2">
        <v>7</v>
      </c>
      <c r="M257" s="2">
        <v>6</v>
      </c>
      <c r="N257" s="2">
        <v>146</v>
      </c>
      <c r="O257" s="2">
        <f t="shared" ca="1" si="25"/>
        <v>0.33333333333333331</v>
      </c>
      <c r="P257" s="2">
        <f t="shared" ca="1" si="26"/>
        <v>87.254901960784323</v>
      </c>
      <c r="Q257" s="2">
        <v>3.2336999999999998</v>
      </c>
      <c r="R257" s="2">
        <f t="shared" si="27"/>
        <v>104.31588235294117</v>
      </c>
      <c r="S257" s="2">
        <v>7</v>
      </c>
      <c r="T257" s="2">
        <v>12</v>
      </c>
      <c r="U257" s="2">
        <v>19.428599999999999</v>
      </c>
      <c r="V257" s="2">
        <f t="shared" si="28"/>
        <v>11.661912364616706</v>
      </c>
      <c r="W257" s="2">
        <v>3</v>
      </c>
      <c r="X257" s="2">
        <f t="shared" si="29"/>
        <v>9.1651513899116797</v>
      </c>
      <c r="Y257" s="2">
        <v>15</v>
      </c>
      <c r="Z257" s="2">
        <f t="shared" si="30"/>
        <v>10.246950765959598</v>
      </c>
      <c r="AA257" s="2">
        <f t="shared" si="31"/>
        <v>9.3273897742080027</v>
      </c>
      <c r="AB257" s="2">
        <v>20.199000000000002</v>
      </c>
      <c r="AC257" s="2">
        <v>7</v>
      </c>
      <c r="AD257" s="2">
        <v>0</v>
      </c>
      <c r="AE257" s="2">
        <v>0</v>
      </c>
      <c r="AF257" s="2">
        <v>0</v>
      </c>
      <c r="AG257" s="2">
        <v>7</v>
      </c>
    </row>
    <row r="258" spans="1:33" x14ac:dyDescent="0.3">
      <c r="A258" s="2" t="s">
        <v>35</v>
      </c>
      <c r="B258" s="2" t="s">
        <v>737</v>
      </c>
      <c r="C258" s="2" t="s">
        <v>128</v>
      </c>
      <c r="D258" s="2" t="s">
        <v>738</v>
      </c>
      <c r="E258" s="2">
        <v>1985</v>
      </c>
      <c r="F258" s="2">
        <v>78</v>
      </c>
      <c r="G258" s="2">
        <v>2</v>
      </c>
      <c r="H258" s="2">
        <v>16</v>
      </c>
      <c r="I258" s="2">
        <v>11</v>
      </c>
      <c r="J258" s="2">
        <v>21</v>
      </c>
      <c r="K258" s="2">
        <f t="shared" ref="K258:K321" ca="1" si="32">IF((YEAR(TODAY())-E258)&lt;=0,1,YEAR(TODAY())-E258)</f>
        <v>41</v>
      </c>
      <c r="L258" s="2">
        <v>34</v>
      </c>
      <c r="M258" s="2">
        <v>43</v>
      </c>
      <c r="N258" s="2">
        <v>5577</v>
      </c>
      <c r="O258" s="2">
        <f t="shared" ref="O258:O321" ca="1" si="33">IFERROR(L258/K258,0)</f>
        <v>0.82926829268292679</v>
      </c>
      <c r="P258" s="2">
        <f t="shared" ref="P258:P321" ca="1" si="34">IFERROR((100/F258)*(L258-0.1*G258+0.5*J258+O258),0)</f>
        <v>57.858036272670418</v>
      </c>
      <c r="Q258" s="2">
        <v>15.9276</v>
      </c>
      <c r="R258" s="2">
        <f t="shared" ref="R258:R321" si="35">IFERROR((100/F258)*(L258-0.1*G258+0.5*J258+Q258),0)</f>
        <v>77.214871794871797</v>
      </c>
      <c r="S258" s="2">
        <v>34</v>
      </c>
      <c r="T258" s="2">
        <v>74</v>
      </c>
      <c r="U258" s="2">
        <v>157.47059999999999</v>
      </c>
      <c r="V258" s="2">
        <f t="shared" ref="V258:V321" si="36">IFERROR(SQRT(U258*S258),0)</f>
        <v>73.171035253028919</v>
      </c>
      <c r="W258" s="2">
        <v>12</v>
      </c>
      <c r="X258" s="2">
        <f t="shared" ref="X258:X321" si="37">IFERROR(SQRT(S258*T258),0)</f>
        <v>50.159744815937813</v>
      </c>
      <c r="Y258" s="2">
        <v>125</v>
      </c>
      <c r="Z258" s="2">
        <f t="shared" ref="Z258:Z321" si="38">IFERROR(SQRT(S258*Y258),0)</f>
        <v>65.192024052026483</v>
      </c>
      <c r="AA258" s="2">
        <f t="shared" ref="AA258:AA321" si="39">IFERROR(SQRT(MAX(U258*S258-S258^2,0)),0)</f>
        <v>64.791977898502225</v>
      </c>
      <c r="AB258" s="2">
        <v>233.7884</v>
      </c>
      <c r="AC258" s="2">
        <v>22</v>
      </c>
      <c r="AD258" s="2">
        <v>9</v>
      </c>
      <c r="AE258" s="2">
        <v>0</v>
      </c>
      <c r="AF258" s="2">
        <v>25</v>
      </c>
      <c r="AG258" s="2">
        <v>5</v>
      </c>
    </row>
    <row r="259" spans="1:33" x14ac:dyDescent="0.3">
      <c r="A259" s="2" t="s">
        <v>35</v>
      </c>
      <c r="B259" s="2" t="s">
        <v>740</v>
      </c>
      <c r="C259" s="2" t="s">
        <v>99</v>
      </c>
      <c r="D259" s="2" t="s">
        <v>741</v>
      </c>
      <c r="E259" s="2">
        <v>1992</v>
      </c>
      <c r="F259" s="2">
        <v>360</v>
      </c>
      <c r="G259" s="2">
        <v>190</v>
      </c>
      <c r="H259" s="2">
        <v>24</v>
      </c>
      <c r="I259" s="2">
        <v>14</v>
      </c>
      <c r="J259" s="2">
        <v>33</v>
      </c>
      <c r="K259" s="2">
        <f t="shared" ca="1" si="32"/>
        <v>34</v>
      </c>
      <c r="L259" s="2">
        <v>40</v>
      </c>
      <c r="M259" s="2">
        <v>177</v>
      </c>
      <c r="N259" s="2">
        <v>6520</v>
      </c>
      <c r="O259" s="2">
        <f t="shared" ca="1" si="33"/>
        <v>1.1764705882352942</v>
      </c>
      <c r="P259" s="2">
        <f t="shared" ca="1" si="34"/>
        <v>10.743464052287583</v>
      </c>
      <c r="Q259" s="2">
        <v>15.777699999999999</v>
      </c>
      <c r="R259" s="2">
        <f t="shared" si="35"/>
        <v>14.799361111111111</v>
      </c>
      <c r="S259" s="2">
        <v>40</v>
      </c>
      <c r="T259" s="2">
        <v>61</v>
      </c>
      <c r="U259" s="2">
        <v>75.650000000000006</v>
      </c>
      <c r="V259" s="2">
        <f t="shared" si="36"/>
        <v>55.009090157900268</v>
      </c>
      <c r="W259" s="2">
        <v>9</v>
      </c>
      <c r="X259" s="2">
        <f t="shared" si="37"/>
        <v>49.396356140913873</v>
      </c>
      <c r="Y259" s="2">
        <v>58.5</v>
      </c>
      <c r="Z259" s="2">
        <f t="shared" si="38"/>
        <v>48.373546489791295</v>
      </c>
      <c r="AA259" s="2">
        <f t="shared" si="39"/>
        <v>37.76241517699841</v>
      </c>
      <c r="AB259" s="2">
        <v>212.93899999999999</v>
      </c>
      <c r="AC259" s="2">
        <v>22</v>
      </c>
      <c r="AD259" s="2">
        <v>8</v>
      </c>
      <c r="AE259" s="2">
        <v>17</v>
      </c>
      <c r="AF259" s="2">
        <v>36</v>
      </c>
      <c r="AG259" s="2">
        <v>10</v>
      </c>
    </row>
    <row r="260" spans="1:33" x14ac:dyDescent="0.3">
      <c r="A260" s="2" t="s">
        <v>35</v>
      </c>
      <c r="B260" s="2" t="s">
        <v>743</v>
      </c>
      <c r="C260" s="2" t="s">
        <v>74</v>
      </c>
      <c r="D260" s="2" t="s">
        <v>744</v>
      </c>
      <c r="E260" s="2">
        <v>2009</v>
      </c>
      <c r="F260" s="2">
        <v>36</v>
      </c>
      <c r="G260" s="2">
        <v>6</v>
      </c>
      <c r="H260" s="2">
        <v>9</v>
      </c>
      <c r="I260" s="2">
        <v>9</v>
      </c>
      <c r="J260" s="2">
        <v>13</v>
      </c>
      <c r="K260" s="2">
        <f t="shared" ca="1" si="32"/>
        <v>17</v>
      </c>
      <c r="L260" s="2">
        <v>14</v>
      </c>
      <c r="M260" s="2">
        <v>15</v>
      </c>
      <c r="N260" s="2">
        <v>951</v>
      </c>
      <c r="O260" s="2">
        <f t="shared" ca="1" si="33"/>
        <v>0.82352941176470584</v>
      </c>
      <c r="P260" s="2">
        <f t="shared" ca="1" si="34"/>
        <v>57.565359477124176</v>
      </c>
      <c r="Q260" s="2">
        <v>8.6006</v>
      </c>
      <c r="R260" s="2">
        <f t="shared" si="35"/>
        <v>79.168333333333322</v>
      </c>
      <c r="S260" s="2">
        <v>14</v>
      </c>
      <c r="T260" s="2">
        <v>30</v>
      </c>
      <c r="U260" s="2">
        <v>63.142899999999997</v>
      </c>
      <c r="V260" s="2">
        <f t="shared" si="36"/>
        <v>29.732147584727208</v>
      </c>
      <c r="W260" s="2">
        <v>7</v>
      </c>
      <c r="X260" s="2">
        <f t="shared" si="37"/>
        <v>20.493901531919196</v>
      </c>
      <c r="Y260" s="2">
        <v>49</v>
      </c>
      <c r="Z260" s="2">
        <f t="shared" si="38"/>
        <v>26.19160170741759</v>
      </c>
      <c r="AA260" s="2">
        <f t="shared" si="39"/>
        <v>26.229765534598283</v>
      </c>
      <c r="AB260" s="2">
        <v>66.730800000000002</v>
      </c>
      <c r="AC260" s="2">
        <v>12</v>
      </c>
      <c r="AD260" s="2">
        <v>2</v>
      </c>
      <c r="AE260" s="2">
        <v>6</v>
      </c>
      <c r="AF260" s="2">
        <v>6</v>
      </c>
      <c r="AG260" s="2">
        <v>6</v>
      </c>
    </row>
    <row r="261" spans="1:33" x14ac:dyDescent="0.3">
      <c r="A261" s="2" t="s">
        <v>35</v>
      </c>
      <c r="B261" s="2" t="s">
        <v>1122</v>
      </c>
      <c r="C261" s="2" t="s">
        <v>43</v>
      </c>
      <c r="D261" s="2" t="s">
        <v>1123</v>
      </c>
      <c r="E261" s="2">
        <v>2021</v>
      </c>
      <c r="F261" s="2">
        <v>1</v>
      </c>
      <c r="G261" s="2">
        <v>0</v>
      </c>
      <c r="H261" s="2">
        <v>1</v>
      </c>
      <c r="I261" s="2">
        <v>1</v>
      </c>
      <c r="J261" s="2">
        <v>1</v>
      </c>
      <c r="K261" s="2">
        <f t="shared" ca="1" si="32"/>
        <v>5</v>
      </c>
      <c r="L261" s="2">
        <v>0</v>
      </c>
      <c r="M261" s="2">
        <v>0</v>
      </c>
      <c r="N261" s="2">
        <v>0</v>
      </c>
      <c r="O261" s="2">
        <f t="shared" ca="1" si="33"/>
        <v>0</v>
      </c>
      <c r="P261" s="2">
        <f t="shared" ca="1" si="34"/>
        <v>50</v>
      </c>
      <c r="Q261" s="2">
        <v>0</v>
      </c>
      <c r="R261" s="2">
        <f t="shared" si="35"/>
        <v>50</v>
      </c>
      <c r="S261" s="2">
        <v>0</v>
      </c>
      <c r="T261" s="2">
        <v>0</v>
      </c>
      <c r="U261" s="2">
        <v>0</v>
      </c>
      <c r="V261" s="2">
        <f t="shared" si="36"/>
        <v>0</v>
      </c>
      <c r="W261" s="2">
        <v>0</v>
      </c>
      <c r="X261" s="2">
        <f t="shared" si="37"/>
        <v>0</v>
      </c>
      <c r="Y261" s="2">
        <v>0</v>
      </c>
      <c r="Z261" s="2">
        <f t="shared" si="38"/>
        <v>0</v>
      </c>
      <c r="AA261" s="2">
        <f t="shared" si="39"/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 x14ac:dyDescent="0.3">
      <c r="A262" s="2" t="s">
        <v>35</v>
      </c>
      <c r="B262" s="2" t="s">
        <v>746</v>
      </c>
      <c r="C262" s="2" t="s">
        <v>109</v>
      </c>
      <c r="D262" s="2" t="s">
        <v>747</v>
      </c>
      <c r="E262" s="2">
        <v>2000</v>
      </c>
      <c r="F262" s="2">
        <v>67</v>
      </c>
      <c r="G262" s="2">
        <v>21</v>
      </c>
      <c r="H262" s="2">
        <v>23</v>
      </c>
      <c r="I262" s="2">
        <v>2</v>
      </c>
      <c r="J262" s="2">
        <v>23</v>
      </c>
      <c r="K262" s="2">
        <f t="shared" ca="1" si="32"/>
        <v>26</v>
      </c>
      <c r="L262" s="2">
        <v>9</v>
      </c>
      <c r="M262" s="2">
        <v>8</v>
      </c>
      <c r="N262" s="2">
        <v>623</v>
      </c>
      <c r="O262" s="2">
        <f t="shared" ca="1" si="33"/>
        <v>0.34615384615384615</v>
      </c>
      <c r="P262" s="2">
        <f t="shared" ca="1" si="34"/>
        <v>27.979334098737084</v>
      </c>
      <c r="Q262" s="2">
        <v>9.0716999999999999</v>
      </c>
      <c r="R262" s="2">
        <f t="shared" si="35"/>
        <v>41.002537313432839</v>
      </c>
      <c r="S262" s="2">
        <v>9</v>
      </c>
      <c r="T262" s="2">
        <v>25</v>
      </c>
      <c r="U262" s="2">
        <v>60.777799999999999</v>
      </c>
      <c r="V262" s="2">
        <f t="shared" si="36"/>
        <v>23.388035402743856</v>
      </c>
      <c r="W262" s="2">
        <v>4</v>
      </c>
      <c r="X262" s="2">
        <f t="shared" si="37"/>
        <v>15</v>
      </c>
      <c r="Y262" s="2">
        <v>23</v>
      </c>
      <c r="Z262" s="2">
        <f t="shared" si="38"/>
        <v>14.387494569938159</v>
      </c>
      <c r="AA262" s="2">
        <f t="shared" si="39"/>
        <v>21.587037777332952</v>
      </c>
      <c r="AB262" s="2">
        <v>35.028599999999997</v>
      </c>
      <c r="AC262" s="2">
        <v>7</v>
      </c>
      <c r="AD262" s="2">
        <v>7</v>
      </c>
      <c r="AE262" s="2">
        <v>4</v>
      </c>
      <c r="AF262" s="2">
        <v>4</v>
      </c>
      <c r="AG262" s="2">
        <v>0</v>
      </c>
    </row>
    <row r="263" spans="1:33" x14ac:dyDescent="0.3">
      <c r="A263" s="2" t="s">
        <v>35</v>
      </c>
      <c r="B263" s="2" t="s">
        <v>749</v>
      </c>
      <c r="C263" s="2" t="s">
        <v>67</v>
      </c>
      <c r="D263" s="2" t="s">
        <v>750</v>
      </c>
      <c r="E263" s="2">
        <v>1985</v>
      </c>
      <c r="F263" s="2">
        <v>60</v>
      </c>
      <c r="G263" s="2">
        <v>25</v>
      </c>
      <c r="H263" s="2">
        <v>22</v>
      </c>
      <c r="I263" s="2">
        <v>8</v>
      </c>
      <c r="J263" s="2">
        <v>24</v>
      </c>
      <c r="K263" s="2">
        <f t="shared" ca="1" si="32"/>
        <v>41</v>
      </c>
      <c r="L263" s="2">
        <v>18</v>
      </c>
      <c r="M263" s="2">
        <v>22</v>
      </c>
      <c r="N263" s="2">
        <v>1148</v>
      </c>
      <c r="O263" s="2">
        <f t="shared" ca="1" si="33"/>
        <v>0.43902439024390244</v>
      </c>
      <c r="P263" s="2">
        <f t="shared" ca="1" si="34"/>
        <v>46.565040650406502</v>
      </c>
      <c r="Q263" s="2">
        <v>10.781599999999999</v>
      </c>
      <c r="R263" s="2">
        <f t="shared" si="35"/>
        <v>63.802666666666667</v>
      </c>
      <c r="S263" s="2">
        <v>18</v>
      </c>
      <c r="T263" s="2">
        <v>33</v>
      </c>
      <c r="U263" s="2">
        <v>58.722200000000001</v>
      </c>
      <c r="V263" s="2">
        <f t="shared" si="36"/>
        <v>32.511530262354619</v>
      </c>
      <c r="W263" s="2">
        <v>7</v>
      </c>
      <c r="X263" s="2">
        <f t="shared" si="37"/>
        <v>24.372115213907882</v>
      </c>
      <c r="Y263" s="2">
        <v>38</v>
      </c>
      <c r="Z263" s="2">
        <f t="shared" si="38"/>
        <v>26.153393661244042</v>
      </c>
      <c r="AA263" s="2">
        <f t="shared" si="39"/>
        <v>27.073965354192211</v>
      </c>
      <c r="AB263" s="2">
        <v>77.608000000000004</v>
      </c>
      <c r="AC263" s="2">
        <v>11</v>
      </c>
      <c r="AD263" s="2">
        <v>6</v>
      </c>
      <c r="AE263" s="2">
        <v>7</v>
      </c>
      <c r="AF263" s="2">
        <v>8</v>
      </c>
      <c r="AG263" s="2">
        <v>2</v>
      </c>
    </row>
    <row r="264" spans="1:33" x14ac:dyDescent="0.3">
      <c r="A264" s="2" t="s">
        <v>35</v>
      </c>
      <c r="B264" s="2" t="s">
        <v>752</v>
      </c>
      <c r="C264" s="2" t="s">
        <v>128</v>
      </c>
      <c r="D264" s="2" t="s">
        <v>753</v>
      </c>
      <c r="E264" s="2">
        <v>2014</v>
      </c>
      <c r="F264" s="2">
        <v>2</v>
      </c>
      <c r="G264" s="2">
        <v>0</v>
      </c>
      <c r="H264" s="2">
        <v>0</v>
      </c>
      <c r="I264" s="2">
        <v>0</v>
      </c>
      <c r="J264" s="2">
        <v>0</v>
      </c>
      <c r="K264" s="2">
        <f t="shared" ca="1" si="32"/>
        <v>12</v>
      </c>
      <c r="L264" s="2">
        <v>1</v>
      </c>
      <c r="M264" s="2">
        <v>0</v>
      </c>
      <c r="N264" s="2">
        <v>6</v>
      </c>
      <c r="O264" s="2">
        <f t="shared" ca="1" si="33"/>
        <v>8.3333333333333329E-2</v>
      </c>
      <c r="P264" s="2">
        <f t="shared" ca="1" si="34"/>
        <v>54.166666666666664</v>
      </c>
      <c r="Q264" s="2">
        <v>0.70709999999999995</v>
      </c>
      <c r="R264" s="2">
        <f t="shared" si="35"/>
        <v>85.355000000000004</v>
      </c>
      <c r="S264" s="2">
        <v>1</v>
      </c>
      <c r="T264" s="2">
        <v>2</v>
      </c>
      <c r="U264" s="2">
        <v>6</v>
      </c>
      <c r="V264" s="2">
        <f t="shared" si="36"/>
        <v>2.4494897427831779</v>
      </c>
      <c r="W264" s="2">
        <v>1</v>
      </c>
      <c r="X264" s="2">
        <f t="shared" si="37"/>
        <v>1.4142135623730951</v>
      </c>
      <c r="Y264" s="2">
        <v>6</v>
      </c>
      <c r="Z264" s="2">
        <f t="shared" si="38"/>
        <v>2.4494897427831779</v>
      </c>
      <c r="AA264" s="2">
        <f t="shared" si="39"/>
        <v>2.2360679774997898</v>
      </c>
      <c r="AB264" s="2">
        <v>2.4495</v>
      </c>
      <c r="AC264" s="2">
        <v>1</v>
      </c>
      <c r="AD264" s="2">
        <v>0</v>
      </c>
      <c r="AE264" s="2">
        <v>1</v>
      </c>
      <c r="AF264" s="2">
        <v>0</v>
      </c>
      <c r="AG264" s="2">
        <v>0</v>
      </c>
    </row>
    <row r="265" spans="1:33" x14ac:dyDescent="0.3">
      <c r="A265" s="2" t="s">
        <v>35</v>
      </c>
      <c r="B265" s="2" t="s">
        <v>755</v>
      </c>
      <c r="C265" s="2" t="s">
        <v>74</v>
      </c>
      <c r="D265" s="2" t="s">
        <v>756</v>
      </c>
      <c r="E265" s="2">
        <v>1964</v>
      </c>
      <c r="F265" s="2">
        <v>385</v>
      </c>
      <c r="G265" s="2">
        <v>206</v>
      </c>
      <c r="H265" s="2">
        <v>95</v>
      </c>
      <c r="I265" s="2">
        <v>79</v>
      </c>
      <c r="J265" s="2">
        <v>136</v>
      </c>
      <c r="K265" s="2">
        <f t="shared" ca="1" si="32"/>
        <v>62</v>
      </c>
      <c r="L265" s="2">
        <v>47</v>
      </c>
      <c r="M265" s="2">
        <v>132</v>
      </c>
      <c r="N265" s="2">
        <v>9678</v>
      </c>
      <c r="O265" s="2">
        <f t="shared" ca="1" si="33"/>
        <v>0.75806451612903225</v>
      </c>
      <c r="P265" s="2">
        <f t="shared" ca="1" si="34"/>
        <v>24.716380393799749</v>
      </c>
      <c r="Q265" s="2">
        <v>22.882899999999999</v>
      </c>
      <c r="R265" s="2">
        <f t="shared" si="35"/>
        <v>30.463090909090909</v>
      </c>
      <c r="S265" s="2">
        <v>47</v>
      </c>
      <c r="T265" s="2">
        <v>93</v>
      </c>
      <c r="U265" s="2">
        <v>156.91489999999999</v>
      </c>
      <c r="V265" s="2">
        <f t="shared" si="36"/>
        <v>85.877821933255845</v>
      </c>
      <c r="W265" s="2">
        <v>13</v>
      </c>
      <c r="X265" s="2">
        <f t="shared" si="37"/>
        <v>66.113538704262382</v>
      </c>
      <c r="Y265" s="2">
        <v>113</v>
      </c>
      <c r="Z265" s="2">
        <f t="shared" si="38"/>
        <v>72.876608044008194</v>
      </c>
      <c r="AA265" s="2">
        <f t="shared" si="39"/>
        <v>71.874893391225285</v>
      </c>
      <c r="AB265" s="2">
        <v>333.67200000000003</v>
      </c>
      <c r="AC265" s="2">
        <v>27</v>
      </c>
      <c r="AD265" s="2">
        <v>14</v>
      </c>
      <c r="AE265" s="2">
        <v>18</v>
      </c>
      <c r="AF265" s="2">
        <v>37</v>
      </c>
      <c r="AG265" s="2">
        <v>15</v>
      </c>
    </row>
    <row r="266" spans="1:33" x14ac:dyDescent="0.3">
      <c r="A266" s="2" t="s">
        <v>35</v>
      </c>
      <c r="B266" s="2" t="s">
        <v>1124</v>
      </c>
      <c r="C266" s="2" t="s">
        <v>109</v>
      </c>
      <c r="D266" s="2" t="s">
        <v>1125</v>
      </c>
      <c r="E266" s="2">
        <v>2023</v>
      </c>
      <c r="F266" s="2">
        <v>2</v>
      </c>
      <c r="G266" s="2">
        <v>0</v>
      </c>
      <c r="H266" s="2">
        <v>2</v>
      </c>
      <c r="I266" s="2">
        <v>1</v>
      </c>
      <c r="J266" s="2">
        <v>2</v>
      </c>
      <c r="K266" s="2">
        <f t="shared" ca="1" si="32"/>
        <v>3</v>
      </c>
      <c r="L266" s="2">
        <v>0</v>
      </c>
      <c r="M266" s="2">
        <v>0</v>
      </c>
      <c r="N266" s="2">
        <v>0</v>
      </c>
      <c r="O266" s="2">
        <f t="shared" ca="1" si="33"/>
        <v>0</v>
      </c>
      <c r="P266" s="2">
        <f t="shared" ca="1" si="34"/>
        <v>50</v>
      </c>
      <c r="Q266" s="2">
        <v>0</v>
      </c>
      <c r="R266" s="2">
        <f t="shared" si="35"/>
        <v>50</v>
      </c>
      <c r="S266" s="2">
        <v>0</v>
      </c>
      <c r="T266" s="2">
        <v>0</v>
      </c>
      <c r="U266" s="2">
        <v>0</v>
      </c>
      <c r="V266" s="2">
        <f t="shared" si="36"/>
        <v>0</v>
      </c>
      <c r="W266" s="2">
        <v>0</v>
      </c>
      <c r="X266" s="2">
        <f t="shared" si="37"/>
        <v>0</v>
      </c>
      <c r="Y266" s="2">
        <v>0</v>
      </c>
      <c r="Z266" s="2">
        <f t="shared" si="38"/>
        <v>0</v>
      </c>
      <c r="AA266" s="2">
        <f t="shared" si="39"/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 x14ac:dyDescent="0.3">
      <c r="A267" s="2" t="s">
        <v>35</v>
      </c>
      <c r="B267" s="2" t="s">
        <v>758</v>
      </c>
      <c r="C267" s="2" t="s">
        <v>109</v>
      </c>
      <c r="D267" s="2" t="s">
        <v>759</v>
      </c>
      <c r="E267" s="2">
        <v>2019</v>
      </c>
      <c r="F267" s="2">
        <v>13</v>
      </c>
      <c r="G267" s="2">
        <v>11</v>
      </c>
      <c r="H267" s="2">
        <v>6</v>
      </c>
      <c r="I267" s="2">
        <v>7</v>
      </c>
      <c r="J267" s="2">
        <v>9</v>
      </c>
      <c r="K267" s="2">
        <f t="shared" ca="1" si="32"/>
        <v>7</v>
      </c>
      <c r="L267" s="2">
        <v>4</v>
      </c>
      <c r="M267" s="2">
        <v>4</v>
      </c>
      <c r="N267" s="2">
        <v>128</v>
      </c>
      <c r="O267" s="2">
        <f t="shared" ca="1" si="33"/>
        <v>0.5714285714285714</v>
      </c>
      <c r="P267" s="2">
        <f t="shared" ca="1" si="34"/>
        <v>61.318681318681321</v>
      </c>
      <c r="Q267" s="2">
        <v>6.1032999999999999</v>
      </c>
      <c r="R267" s="2">
        <f t="shared" si="35"/>
        <v>103.87153846153846</v>
      </c>
      <c r="S267" s="2">
        <v>4</v>
      </c>
      <c r="T267" s="2">
        <v>11</v>
      </c>
      <c r="U267" s="2">
        <v>30.5</v>
      </c>
      <c r="V267" s="2">
        <f t="shared" si="36"/>
        <v>11.045361017187261</v>
      </c>
      <c r="W267" s="2">
        <v>4</v>
      </c>
      <c r="X267" s="2">
        <f t="shared" si="37"/>
        <v>6.6332495807107996</v>
      </c>
      <c r="Y267" s="2">
        <v>22</v>
      </c>
      <c r="Z267" s="2">
        <f t="shared" si="38"/>
        <v>9.3808315196468595</v>
      </c>
      <c r="AA267" s="2">
        <f t="shared" si="39"/>
        <v>10.295630140987001</v>
      </c>
      <c r="AB267" s="2">
        <v>15.3948</v>
      </c>
      <c r="AC267" s="2">
        <v>4</v>
      </c>
      <c r="AD267" s="2">
        <v>0</v>
      </c>
      <c r="AE267" s="2">
        <v>0</v>
      </c>
      <c r="AF267" s="2">
        <v>2</v>
      </c>
      <c r="AG267" s="2">
        <v>4</v>
      </c>
    </row>
    <row r="268" spans="1:33" x14ac:dyDescent="0.3">
      <c r="A268" s="2" t="s">
        <v>35</v>
      </c>
      <c r="B268" s="2" t="s">
        <v>761</v>
      </c>
      <c r="C268" s="2" t="s">
        <v>67</v>
      </c>
      <c r="D268" s="2" t="s">
        <v>762</v>
      </c>
      <c r="E268" s="2">
        <v>2017</v>
      </c>
      <c r="F268" s="2">
        <v>3</v>
      </c>
      <c r="G268" s="2">
        <v>1</v>
      </c>
      <c r="H268" s="2">
        <v>0</v>
      </c>
      <c r="I268" s="2">
        <v>0</v>
      </c>
      <c r="J268" s="2">
        <v>0</v>
      </c>
      <c r="K268" s="2">
        <f t="shared" ca="1" si="32"/>
        <v>9</v>
      </c>
      <c r="L268" s="2">
        <v>3</v>
      </c>
      <c r="M268" s="2">
        <v>3</v>
      </c>
      <c r="N268" s="2">
        <v>726</v>
      </c>
      <c r="O268" s="2">
        <f t="shared" ca="1" si="33"/>
        <v>0.33333333333333331</v>
      </c>
      <c r="P268" s="2">
        <f t="shared" ca="1" si="34"/>
        <v>107.77777777777779</v>
      </c>
      <c r="Q268" s="2">
        <v>8.6832999999999991</v>
      </c>
      <c r="R268" s="2">
        <f t="shared" si="35"/>
        <v>386.11</v>
      </c>
      <c r="S268" s="2">
        <v>3</v>
      </c>
      <c r="T268" s="2">
        <v>3</v>
      </c>
      <c r="U268" s="2">
        <v>242</v>
      </c>
      <c r="V268" s="2">
        <f t="shared" si="36"/>
        <v>26.944387170614959</v>
      </c>
      <c r="W268" s="2">
        <v>3</v>
      </c>
      <c r="X268" s="2">
        <f t="shared" si="37"/>
        <v>3</v>
      </c>
      <c r="Y268" s="2">
        <v>31</v>
      </c>
      <c r="Z268" s="2">
        <f t="shared" si="38"/>
        <v>9.6436507609929549</v>
      </c>
      <c r="AA268" s="2">
        <f t="shared" si="39"/>
        <v>26.776855677991769</v>
      </c>
      <c r="AB268" s="2">
        <v>27.946400000000001</v>
      </c>
      <c r="AC268" s="2">
        <v>3</v>
      </c>
      <c r="AD268" s="2">
        <v>0</v>
      </c>
      <c r="AE268" s="2">
        <v>1</v>
      </c>
      <c r="AF268" s="2">
        <v>2</v>
      </c>
      <c r="AG268" s="2">
        <v>0</v>
      </c>
    </row>
    <row r="269" spans="1:33" x14ac:dyDescent="0.3">
      <c r="A269" s="2" t="s">
        <v>35</v>
      </c>
      <c r="B269" s="2" t="s">
        <v>764</v>
      </c>
      <c r="C269" s="2" t="s">
        <v>67</v>
      </c>
      <c r="D269" s="2" t="s">
        <v>765</v>
      </c>
      <c r="E269" s="2">
        <v>1958</v>
      </c>
      <c r="F269" s="2">
        <v>181</v>
      </c>
      <c r="G269" s="2">
        <v>90</v>
      </c>
      <c r="H269" s="2">
        <v>53</v>
      </c>
      <c r="I269" s="2">
        <v>42</v>
      </c>
      <c r="J269" s="2">
        <v>66</v>
      </c>
      <c r="K269" s="2">
        <f t="shared" ca="1" si="32"/>
        <v>68</v>
      </c>
      <c r="L269" s="2">
        <v>41</v>
      </c>
      <c r="M269" s="2">
        <v>72</v>
      </c>
      <c r="N269" s="2">
        <v>4892</v>
      </c>
      <c r="O269" s="2">
        <f t="shared" ca="1" si="33"/>
        <v>0.6029411764705882</v>
      </c>
      <c r="P269" s="2">
        <f t="shared" ca="1" si="34"/>
        <v>36.244718882027954</v>
      </c>
      <c r="Q269" s="2">
        <v>18.258900000000001</v>
      </c>
      <c r="R269" s="2">
        <f t="shared" si="35"/>
        <v>45.999392265193372</v>
      </c>
      <c r="S269" s="2">
        <v>41</v>
      </c>
      <c r="T269" s="2">
        <v>68</v>
      </c>
      <c r="U269" s="2">
        <v>98.365899999999996</v>
      </c>
      <c r="V269" s="2">
        <f t="shared" si="36"/>
        <v>63.505920196466718</v>
      </c>
      <c r="W269" s="2">
        <v>11</v>
      </c>
      <c r="X269" s="2">
        <f t="shared" si="37"/>
        <v>52.801515129776341</v>
      </c>
      <c r="Y269" s="2">
        <v>88</v>
      </c>
      <c r="Z269" s="2">
        <f t="shared" si="38"/>
        <v>60.066629670724829</v>
      </c>
      <c r="AA269" s="2">
        <f t="shared" si="39"/>
        <v>48.497442200594456</v>
      </c>
      <c r="AB269" s="2">
        <v>250.60130000000001</v>
      </c>
      <c r="AC269" s="2">
        <v>30</v>
      </c>
      <c r="AD269" s="2">
        <v>10</v>
      </c>
      <c r="AE269" s="2">
        <v>9</v>
      </c>
      <c r="AF269" s="2">
        <v>23</v>
      </c>
      <c r="AG269" s="2">
        <v>19</v>
      </c>
    </row>
    <row r="270" spans="1:33" x14ac:dyDescent="0.3">
      <c r="A270" s="2" t="s">
        <v>35</v>
      </c>
      <c r="B270" s="2" t="s">
        <v>767</v>
      </c>
      <c r="C270" s="2" t="s">
        <v>287</v>
      </c>
      <c r="D270" s="2" t="s">
        <v>768</v>
      </c>
      <c r="E270" s="2">
        <v>1988</v>
      </c>
      <c r="F270" s="2">
        <v>48</v>
      </c>
      <c r="G270" s="2">
        <v>0</v>
      </c>
      <c r="H270" s="2">
        <v>20</v>
      </c>
      <c r="I270" s="2">
        <v>11</v>
      </c>
      <c r="J270" s="2">
        <v>20</v>
      </c>
      <c r="K270" s="2">
        <f t="shared" ca="1" si="32"/>
        <v>38</v>
      </c>
      <c r="L270" s="2">
        <v>7</v>
      </c>
      <c r="M270" s="2">
        <v>7</v>
      </c>
      <c r="N270" s="2">
        <v>260</v>
      </c>
      <c r="O270" s="2">
        <f t="shared" ca="1" si="33"/>
        <v>0.18421052631578946</v>
      </c>
      <c r="P270" s="2">
        <f t="shared" ca="1" si="34"/>
        <v>35.800438596491233</v>
      </c>
      <c r="Q270" s="2">
        <v>4.3826999999999998</v>
      </c>
      <c r="R270" s="2">
        <f t="shared" si="35"/>
        <v>44.547291666666666</v>
      </c>
      <c r="S270" s="2">
        <v>7</v>
      </c>
      <c r="T270" s="2">
        <v>15</v>
      </c>
      <c r="U270" s="2">
        <v>30.714300000000001</v>
      </c>
      <c r="V270" s="2">
        <f t="shared" si="36"/>
        <v>14.662881708586481</v>
      </c>
      <c r="W270" s="2">
        <v>4</v>
      </c>
      <c r="X270" s="2">
        <f t="shared" si="37"/>
        <v>10.246950765959598</v>
      </c>
      <c r="Y270" s="2">
        <v>32</v>
      </c>
      <c r="Z270" s="2">
        <f t="shared" si="38"/>
        <v>14.966629547095765</v>
      </c>
      <c r="AA270" s="2">
        <f t="shared" si="39"/>
        <v>12.884102607477169</v>
      </c>
      <c r="AB270" s="2">
        <v>25.139600000000002</v>
      </c>
      <c r="AC270" s="2">
        <v>6</v>
      </c>
      <c r="AD270" s="2">
        <v>3</v>
      </c>
      <c r="AE270" s="2">
        <v>4</v>
      </c>
      <c r="AF270" s="2">
        <v>3</v>
      </c>
      <c r="AG270" s="2">
        <v>1</v>
      </c>
    </row>
    <row r="271" spans="1:33" x14ac:dyDescent="0.3">
      <c r="A271" s="2" t="s">
        <v>35</v>
      </c>
      <c r="B271" s="2" t="s">
        <v>770</v>
      </c>
      <c r="C271" s="2" t="s">
        <v>109</v>
      </c>
      <c r="D271" s="2" t="s">
        <v>771</v>
      </c>
      <c r="E271" s="2">
        <v>2014</v>
      </c>
      <c r="F271" s="2">
        <v>2</v>
      </c>
      <c r="G271" s="2">
        <v>0</v>
      </c>
      <c r="H271" s="2">
        <v>1</v>
      </c>
      <c r="I271" s="2">
        <v>0</v>
      </c>
      <c r="J271" s="2">
        <v>1</v>
      </c>
      <c r="K271" s="2">
        <f t="shared" ca="1" si="32"/>
        <v>12</v>
      </c>
      <c r="L271" s="2">
        <v>1</v>
      </c>
      <c r="M271" s="2">
        <v>0</v>
      </c>
      <c r="N271" s="2">
        <v>3</v>
      </c>
      <c r="O271" s="2">
        <f t="shared" ca="1" si="33"/>
        <v>8.3333333333333329E-2</v>
      </c>
      <c r="P271" s="2">
        <f t="shared" ca="1" si="34"/>
        <v>79.166666666666657</v>
      </c>
      <c r="Q271" s="2">
        <v>0.86599999999999999</v>
      </c>
      <c r="R271" s="2">
        <f t="shared" si="35"/>
        <v>118.30000000000001</v>
      </c>
      <c r="S271" s="2">
        <v>1</v>
      </c>
      <c r="T271" s="2">
        <v>1</v>
      </c>
      <c r="U271" s="2">
        <v>3</v>
      </c>
      <c r="V271" s="2">
        <f t="shared" si="36"/>
        <v>1.7320508075688772</v>
      </c>
      <c r="W271" s="2">
        <v>1</v>
      </c>
      <c r="X271" s="2">
        <f t="shared" si="37"/>
        <v>1</v>
      </c>
      <c r="Y271" s="2">
        <v>3</v>
      </c>
      <c r="Z271" s="2">
        <f t="shared" si="38"/>
        <v>1.7320508075688772</v>
      </c>
      <c r="AA271" s="2">
        <f t="shared" si="39"/>
        <v>1.4142135623730951</v>
      </c>
      <c r="AB271" s="2">
        <v>1.7321</v>
      </c>
      <c r="AC271" s="2">
        <v>0</v>
      </c>
      <c r="AD271" s="2">
        <v>0</v>
      </c>
      <c r="AE271" s="2">
        <v>0</v>
      </c>
      <c r="AF271" s="2">
        <v>1</v>
      </c>
      <c r="AG271" s="2">
        <v>0</v>
      </c>
    </row>
    <row r="272" spans="1:33" x14ac:dyDescent="0.3">
      <c r="A272" s="2" t="s">
        <v>35</v>
      </c>
      <c r="B272" s="2" t="s">
        <v>773</v>
      </c>
      <c r="C272" s="2" t="s">
        <v>74</v>
      </c>
      <c r="D272" s="2" t="s">
        <v>774</v>
      </c>
      <c r="E272" s="2">
        <v>2002</v>
      </c>
      <c r="F272" s="2">
        <v>47</v>
      </c>
      <c r="G272" s="2">
        <v>3</v>
      </c>
      <c r="H272" s="2">
        <v>7</v>
      </c>
      <c r="I272" s="2">
        <v>28</v>
      </c>
      <c r="J272" s="2">
        <v>29</v>
      </c>
      <c r="K272" s="2">
        <f t="shared" ca="1" si="32"/>
        <v>24</v>
      </c>
      <c r="L272" s="2">
        <v>12</v>
      </c>
      <c r="M272" s="2">
        <v>17</v>
      </c>
      <c r="N272" s="2">
        <v>590</v>
      </c>
      <c r="O272" s="2">
        <f t="shared" ca="1" si="33"/>
        <v>0.5</v>
      </c>
      <c r="P272" s="2">
        <f t="shared" ca="1" si="34"/>
        <v>56.808510638297868</v>
      </c>
      <c r="Q272" s="2">
        <v>7.9321000000000002</v>
      </c>
      <c r="R272" s="2">
        <f t="shared" si="35"/>
        <v>72.621489361702132</v>
      </c>
      <c r="S272" s="2">
        <v>13</v>
      </c>
      <c r="T272" s="2">
        <v>23</v>
      </c>
      <c r="U272" s="2">
        <v>36.769199999999998</v>
      </c>
      <c r="V272" s="2">
        <f t="shared" si="36"/>
        <v>21.863201961286457</v>
      </c>
      <c r="W272" s="2">
        <v>5</v>
      </c>
      <c r="X272" s="2">
        <f t="shared" si="37"/>
        <v>17.291616465790582</v>
      </c>
      <c r="Y272" s="2">
        <v>32</v>
      </c>
      <c r="Z272" s="2">
        <f t="shared" si="38"/>
        <v>20.396078054371138</v>
      </c>
      <c r="AA272" s="2">
        <f t="shared" si="39"/>
        <v>17.578384453640783</v>
      </c>
      <c r="AB272" s="2">
        <v>46.604700000000001</v>
      </c>
      <c r="AC272" s="2">
        <v>11</v>
      </c>
      <c r="AD272" s="2">
        <v>1</v>
      </c>
      <c r="AE272" s="2">
        <v>6</v>
      </c>
      <c r="AF272" s="2">
        <v>4</v>
      </c>
      <c r="AG272" s="2">
        <v>8</v>
      </c>
    </row>
    <row r="273" spans="1:33" x14ac:dyDescent="0.3">
      <c r="A273" s="2" t="s">
        <v>35</v>
      </c>
      <c r="B273" s="2" t="s">
        <v>776</v>
      </c>
      <c r="C273" s="2" t="s">
        <v>43</v>
      </c>
      <c r="D273" s="2" t="s">
        <v>777</v>
      </c>
      <c r="E273" s="2">
        <v>1986</v>
      </c>
      <c r="F273" s="2">
        <v>22</v>
      </c>
      <c r="G273" s="2">
        <v>1</v>
      </c>
      <c r="H273" s="2">
        <v>11</v>
      </c>
      <c r="I273" s="2">
        <v>10</v>
      </c>
      <c r="J273" s="2">
        <v>11</v>
      </c>
      <c r="K273" s="2">
        <f t="shared" ca="1" si="32"/>
        <v>40</v>
      </c>
      <c r="L273" s="2">
        <v>6</v>
      </c>
      <c r="M273" s="2">
        <v>3</v>
      </c>
      <c r="N273" s="2">
        <v>75</v>
      </c>
      <c r="O273" s="2">
        <f t="shared" ca="1" si="33"/>
        <v>0.15</v>
      </c>
      <c r="P273" s="2">
        <f t="shared" ca="1" si="34"/>
        <v>52.500000000000007</v>
      </c>
      <c r="Q273" s="2">
        <v>2.5722999999999998</v>
      </c>
      <c r="R273" s="2">
        <f t="shared" si="35"/>
        <v>63.510454545454557</v>
      </c>
      <c r="S273" s="2">
        <v>6</v>
      </c>
      <c r="T273" s="2">
        <v>8</v>
      </c>
      <c r="U273" s="2">
        <v>11.333299999999999</v>
      </c>
      <c r="V273" s="2">
        <f t="shared" si="36"/>
        <v>8.2461991244451518</v>
      </c>
      <c r="W273" s="2">
        <v>3</v>
      </c>
      <c r="X273" s="2">
        <f t="shared" si="37"/>
        <v>6.9282032302755088</v>
      </c>
      <c r="Y273" s="2">
        <v>9.5</v>
      </c>
      <c r="Z273" s="2">
        <f t="shared" si="38"/>
        <v>7.5498344352707498</v>
      </c>
      <c r="AA273" s="2">
        <f t="shared" si="39"/>
        <v>5.6568365717952283</v>
      </c>
      <c r="AB273" s="2">
        <v>13.6015</v>
      </c>
      <c r="AC273" s="2">
        <v>4</v>
      </c>
      <c r="AD273" s="2">
        <v>1</v>
      </c>
      <c r="AE273" s="2">
        <v>4</v>
      </c>
      <c r="AF273" s="2">
        <v>0</v>
      </c>
      <c r="AG273" s="2">
        <v>2</v>
      </c>
    </row>
    <row r="274" spans="1:33" x14ac:dyDescent="0.3">
      <c r="A274" s="2" t="s">
        <v>35</v>
      </c>
      <c r="B274" s="2" t="s">
        <v>779</v>
      </c>
      <c r="C274" s="2" t="s">
        <v>99</v>
      </c>
      <c r="D274" s="2" t="s">
        <v>780</v>
      </c>
      <c r="E274" s="2">
        <v>1987</v>
      </c>
      <c r="F274" s="2">
        <v>38</v>
      </c>
      <c r="G274" s="2">
        <v>24</v>
      </c>
      <c r="H274" s="2">
        <v>0</v>
      </c>
      <c r="I274" s="2">
        <v>3</v>
      </c>
      <c r="J274" s="2">
        <v>3</v>
      </c>
      <c r="K274" s="2">
        <f t="shared" ca="1" si="32"/>
        <v>39</v>
      </c>
      <c r="L274" s="2">
        <v>12</v>
      </c>
      <c r="M274" s="2">
        <v>14</v>
      </c>
      <c r="N274" s="2">
        <v>518</v>
      </c>
      <c r="O274" s="2">
        <f t="shared" ca="1" si="33"/>
        <v>0.30769230769230771</v>
      </c>
      <c r="P274" s="2">
        <f t="shared" ca="1" si="34"/>
        <v>30.020242914979761</v>
      </c>
      <c r="Q274" s="2">
        <v>5.5881999999999996</v>
      </c>
      <c r="R274" s="2">
        <f t="shared" si="35"/>
        <v>43.916315789473686</v>
      </c>
      <c r="S274" s="2">
        <v>12</v>
      </c>
      <c r="T274" s="2">
        <v>22</v>
      </c>
      <c r="U274" s="2">
        <v>37.083300000000001</v>
      </c>
      <c r="V274" s="2">
        <f t="shared" si="36"/>
        <v>21.095013628817593</v>
      </c>
      <c r="W274" s="2">
        <v>4</v>
      </c>
      <c r="X274" s="2">
        <f t="shared" si="37"/>
        <v>16.248076809271922</v>
      </c>
      <c r="Y274" s="2">
        <v>18.5</v>
      </c>
      <c r="Z274" s="2">
        <f t="shared" si="38"/>
        <v>14.89966442575134</v>
      </c>
      <c r="AA274" s="2">
        <f t="shared" si="39"/>
        <v>17.349340045085288</v>
      </c>
      <c r="AB274" s="2">
        <v>40.841200000000001</v>
      </c>
      <c r="AC274" s="2">
        <v>6</v>
      </c>
      <c r="AD274" s="2">
        <v>0</v>
      </c>
      <c r="AE274" s="2">
        <v>0</v>
      </c>
      <c r="AF274" s="2">
        <v>12</v>
      </c>
      <c r="AG274" s="2">
        <v>3</v>
      </c>
    </row>
    <row r="275" spans="1:33" x14ac:dyDescent="0.3">
      <c r="A275" s="2" t="s">
        <v>35</v>
      </c>
      <c r="B275" s="2" t="s">
        <v>1126</v>
      </c>
      <c r="C275" s="2" t="s">
        <v>109</v>
      </c>
      <c r="D275" s="2" t="s">
        <v>1127</v>
      </c>
      <c r="E275" s="2">
        <v>2026</v>
      </c>
      <c r="F275" s="2">
        <v>1</v>
      </c>
      <c r="G275" s="2">
        <v>0</v>
      </c>
      <c r="H275" s="2">
        <v>0</v>
      </c>
      <c r="I275" s="2">
        <v>0</v>
      </c>
      <c r="J275" s="2">
        <v>0</v>
      </c>
      <c r="K275" s="2">
        <f t="shared" ca="1" si="32"/>
        <v>1</v>
      </c>
      <c r="L275" s="2">
        <v>0</v>
      </c>
      <c r="M275" s="2">
        <v>0</v>
      </c>
      <c r="N275" s="2">
        <v>0</v>
      </c>
      <c r="O275" s="2">
        <f t="shared" ca="1" si="33"/>
        <v>0</v>
      </c>
      <c r="P275" s="2">
        <f t="shared" ca="1" si="34"/>
        <v>0</v>
      </c>
      <c r="Q275" s="2">
        <v>0</v>
      </c>
      <c r="R275" s="2">
        <f t="shared" si="35"/>
        <v>0</v>
      </c>
      <c r="S275" s="2">
        <v>0</v>
      </c>
      <c r="T275" s="2">
        <v>0</v>
      </c>
      <c r="U275" s="2">
        <v>0</v>
      </c>
      <c r="V275" s="2">
        <f t="shared" si="36"/>
        <v>0</v>
      </c>
      <c r="W275" s="2">
        <v>0</v>
      </c>
      <c r="X275" s="2">
        <f t="shared" si="37"/>
        <v>0</v>
      </c>
      <c r="Y275" s="2">
        <v>0</v>
      </c>
      <c r="Z275" s="2">
        <f t="shared" si="38"/>
        <v>0</v>
      </c>
      <c r="AA275" s="2">
        <f t="shared" si="39"/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</row>
    <row r="276" spans="1:33" x14ac:dyDescent="0.3">
      <c r="A276" s="2" t="s">
        <v>35</v>
      </c>
      <c r="B276" s="2" t="s">
        <v>782</v>
      </c>
      <c r="C276" s="2" t="s">
        <v>55</v>
      </c>
      <c r="D276" s="2" t="s">
        <v>783</v>
      </c>
      <c r="E276" s="2">
        <v>2007</v>
      </c>
      <c r="F276" s="2">
        <v>83</v>
      </c>
      <c r="G276" s="2">
        <v>0</v>
      </c>
      <c r="H276" s="2">
        <v>83</v>
      </c>
      <c r="I276" s="2">
        <v>83</v>
      </c>
      <c r="J276" s="2">
        <v>83</v>
      </c>
      <c r="K276" s="2">
        <f t="shared" ca="1" si="32"/>
        <v>19</v>
      </c>
      <c r="L276" s="2">
        <v>3</v>
      </c>
      <c r="M276" s="2">
        <v>1</v>
      </c>
      <c r="N276" s="2">
        <v>39</v>
      </c>
      <c r="O276" s="2">
        <f t="shared" ca="1" si="33"/>
        <v>0.15789473684210525</v>
      </c>
      <c r="P276" s="2">
        <f t="shared" ca="1" si="34"/>
        <v>53.804692454026636</v>
      </c>
      <c r="Q276" s="2">
        <v>1.5565</v>
      </c>
      <c r="R276" s="2">
        <f t="shared" si="35"/>
        <v>55.489759036144584</v>
      </c>
      <c r="S276" s="2">
        <v>3</v>
      </c>
      <c r="T276" s="2">
        <v>5</v>
      </c>
      <c r="U276" s="2">
        <v>9.3332999999999995</v>
      </c>
      <c r="V276" s="2">
        <f t="shared" si="36"/>
        <v>5.2914931730089192</v>
      </c>
      <c r="W276" s="2">
        <v>2</v>
      </c>
      <c r="X276" s="2">
        <f t="shared" si="37"/>
        <v>3.872983346207417</v>
      </c>
      <c r="Y276" s="2">
        <v>9</v>
      </c>
      <c r="Z276" s="2">
        <f t="shared" si="38"/>
        <v>5.196152422706632</v>
      </c>
      <c r="AA276" s="2">
        <f t="shared" si="39"/>
        <v>4.3588874727388864</v>
      </c>
      <c r="AB276" s="2">
        <v>6.5574000000000003</v>
      </c>
      <c r="AC276" s="2">
        <v>3</v>
      </c>
      <c r="AD276" s="2">
        <v>0</v>
      </c>
      <c r="AE276" s="2">
        <v>0</v>
      </c>
      <c r="AF276" s="2">
        <v>0</v>
      </c>
      <c r="AG276" s="2">
        <v>3</v>
      </c>
    </row>
    <row r="277" spans="1:33" x14ac:dyDescent="0.3">
      <c r="A277" s="2" t="s">
        <v>35</v>
      </c>
      <c r="B277" s="2" t="s">
        <v>785</v>
      </c>
      <c r="C277" s="2" t="s">
        <v>240</v>
      </c>
      <c r="D277" s="2" t="s">
        <v>786</v>
      </c>
      <c r="E277" s="2">
        <v>2023</v>
      </c>
      <c r="F277" s="2">
        <v>3</v>
      </c>
      <c r="G277" s="2">
        <v>0</v>
      </c>
      <c r="H277" s="2">
        <v>3</v>
      </c>
      <c r="I277" s="2">
        <v>3</v>
      </c>
      <c r="J277" s="2">
        <v>3</v>
      </c>
      <c r="K277" s="2">
        <f t="shared" ca="1" si="32"/>
        <v>3</v>
      </c>
      <c r="L277" s="2">
        <v>1</v>
      </c>
      <c r="M277" s="2">
        <v>0</v>
      </c>
      <c r="N277" s="2">
        <v>2</v>
      </c>
      <c r="O277" s="2">
        <f t="shared" ca="1" si="33"/>
        <v>0.33333333333333331</v>
      </c>
      <c r="P277" s="2">
        <f t="shared" ca="1" si="34"/>
        <v>94.444444444444457</v>
      </c>
      <c r="Q277" s="2">
        <v>0.5</v>
      </c>
      <c r="R277" s="2">
        <f t="shared" si="35"/>
        <v>100</v>
      </c>
      <c r="S277" s="2">
        <v>1</v>
      </c>
      <c r="T277" s="2">
        <v>1</v>
      </c>
      <c r="U277" s="2">
        <v>1</v>
      </c>
      <c r="V277" s="2">
        <f t="shared" si="36"/>
        <v>1</v>
      </c>
      <c r="W277" s="2">
        <v>1</v>
      </c>
      <c r="X277" s="2">
        <f t="shared" si="37"/>
        <v>1</v>
      </c>
      <c r="Y277" s="2">
        <v>1</v>
      </c>
      <c r="Z277" s="2">
        <f t="shared" si="38"/>
        <v>1</v>
      </c>
      <c r="AA277" s="2">
        <f t="shared" si="39"/>
        <v>0</v>
      </c>
      <c r="AB277" s="2">
        <v>1</v>
      </c>
      <c r="AC277" s="2">
        <v>1</v>
      </c>
      <c r="AD277" s="2">
        <v>0</v>
      </c>
      <c r="AE277" s="2">
        <v>0</v>
      </c>
      <c r="AF277" s="2">
        <v>0</v>
      </c>
      <c r="AG277" s="2">
        <v>1</v>
      </c>
    </row>
    <row r="278" spans="1:33" x14ac:dyDescent="0.3">
      <c r="A278" s="2" t="s">
        <v>35</v>
      </c>
      <c r="B278" s="2" t="s">
        <v>788</v>
      </c>
      <c r="C278" s="2" t="s">
        <v>43</v>
      </c>
      <c r="D278" s="2" t="s">
        <v>789</v>
      </c>
      <c r="E278" s="2">
        <v>2014</v>
      </c>
      <c r="F278" s="2">
        <v>11</v>
      </c>
      <c r="G278" s="2">
        <v>0</v>
      </c>
      <c r="H278" s="2">
        <v>11</v>
      </c>
      <c r="I278" s="2">
        <v>11</v>
      </c>
      <c r="J278" s="2">
        <v>11</v>
      </c>
      <c r="K278" s="2">
        <f t="shared" ca="1" si="32"/>
        <v>12</v>
      </c>
      <c r="L278" s="2">
        <v>3</v>
      </c>
      <c r="M278" s="2">
        <v>1</v>
      </c>
      <c r="N278" s="2">
        <v>66</v>
      </c>
      <c r="O278" s="2">
        <f t="shared" ca="1" si="33"/>
        <v>0.25</v>
      </c>
      <c r="P278" s="2">
        <f t="shared" ca="1" si="34"/>
        <v>79.545454545454547</v>
      </c>
      <c r="Q278" s="2">
        <v>3.4605000000000001</v>
      </c>
      <c r="R278" s="2">
        <f t="shared" si="35"/>
        <v>108.73181818181818</v>
      </c>
      <c r="S278" s="2">
        <v>3</v>
      </c>
      <c r="T278" s="2">
        <v>8</v>
      </c>
      <c r="U278" s="2">
        <v>20.333300000000001</v>
      </c>
      <c r="V278" s="2">
        <f t="shared" si="36"/>
        <v>7.810243274060034</v>
      </c>
      <c r="W278" s="2">
        <v>1</v>
      </c>
      <c r="X278" s="2">
        <f t="shared" si="37"/>
        <v>4.8989794855663558</v>
      </c>
      <c r="Y278" s="2">
        <v>3</v>
      </c>
      <c r="Z278" s="2">
        <f t="shared" si="38"/>
        <v>3</v>
      </c>
      <c r="AA278" s="2">
        <f t="shared" si="39"/>
        <v>7.2110956171721927</v>
      </c>
      <c r="AB278" s="2">
        <v>8.3666</v>
      </c>
      <c r="AC278" s="2">
        <v>3</v>
      </c>
      <c r="AD278" s="2">
        <v>0</v>
      </c>
      <c r="AE278" s="2">
        <v>0</v>
      </c>
      <c r="AF278" s="2">
        <v>0</v>
      </c>
      <c r="AG278" s="2">
        <v>3</v>
      </c>
    </row>
    <row r="279" spans="1:33" x14ac:dyDescent="0.3">
      <c r="A279" s="2" t="s">
        <v>35</v>
      </c>
      <c r="B279" s="2" t="s">
        <v>791</v>
      </c>
      <c r="C279" s="2" t="s">
        <v>74</v>
      </c>
      <c r="D279" s="2" t="s">
        <v>792</v>
      </c>
      <c r="E279" s="2">
        <v>2011</v>
      </c>
      <c r="F279" s="2">
        <v>18</v>
      </c>
      <c r="G279" s="2">
        <v>10</v>
      </c>
      <c r="H279" s="2">
        <v>6</v>
      </c>
      <c r="I279" s="2">
        <v>0</v>
      </c>
      <c r="J279" s="2">
        <v>6</v>
      </c>
      <c r="K279" s="2">
        <f t="shared" ca="1" si="32"/>
        <v>15</v>
      </c>
      <c r="L279" s="2">
        <v>7</v>
      </c>
      <c r="M279" s="2">
        <v>7</v>
      </c>
      <c r="N279" s="2">
        <v>798</v>
      </c>
      <c r="O279" s="2">
        <f t="shared" ca="1" si="33"/>
        <v>0.46666666666666667</v>
      </c>
      <c r="P279" s="2">
        <f t="shared" ca="1" si="34"/>
        <v>52.592592592592588</v>
      </c>
      <c r="Q279" s="2">
        <v>8.3719000000000001</v>
      </c>
      <c r="R279" s="2">
        <f t="shared" si="35"/>
        <v>96.510555555555555</v>
      </c>
      <c r="S279" s="2">
        <v>7</v>
      </c>
      <c r="T279" s="2">
        <v>18</v>
      </c>
      <c r="U279" s="2">
        <v>110.1429</v>
      </c>
      <c r="V279" s="2">
        <f t="shared" si="36"/>
        <v>27.766892155947161</v>
      </c>
      <c r="W279" s="2">
        <v>5</v>
      </c>
      <c r="X279" s="2">
        <f t="shared" si="37"/>
        <v>11.224972160321824</v>
      </c>
      <c r="Y279" s="2">
        <v>59</v>
      </c>
      <c r="Z279" s="2">
        <f t="shared" si="38"/>
        <v>20.322401432901575</v>
      </c>
      <c r="AA279" s="2">
        <f t="shared" si="39"/>
        <v>26.870063267510183</v>
      </c>
      <c r="AB279" s="2">
        <v>44.0227</v>
      </c>
      <c r="AC279" s="2">
        <v>5</v>
      </c>
      <c r="AD279" s="2">
        <v>4</v>
      </c>
      <c r="AE279" s="2">
        <v>2</v>
      </c>
      <c r="AF279" s="2">
        <v>5</v>
      </c>
      <c r="AG279" s="2">
        <v>0</v>
      </c>
    </row>
    <row r="280" spans="1:33" x14ac:dyDescent="0.3">
      <c r="A280" s="2" t="s">
        <v>35</v>
      </c>
      <c r="B280" s="2" t="s">
        <v>1128</v>
      </c>
      <c r="C280" s="2" t="s">
        <v>51</v>
      </c>
      <c r="D280" s="2" t="s">
        <v>1129</v>
      </c>
      <c r="E280" s="2">
        <v>2023</v>
      </c>
      <c r="F280" s="2">
        <v>1</v>
      </c>
      <c r="G280" s="2">
        <v>0</v>
      </c>
      <c r="H280" s="2">
        <v>1</v>
      </c>
      <c r="I280" s="2">
        <v>0</v>
      </c>
      <c r="J280" s="2">
        <v>1</v>
      </c>
      <c r="K280" s="2">
        <f t="shared" ca="1" si="32"/>
        <v>3</v>
      </c>
      <c r="L280" s="2">
        <v>0</v>
      </c>
      <c r="M280" s="2">
        <v>0</v>
      </c>
      <c r="N280" s="2">
        <v>0</v>
      </c>
      <c r="O280" s="2">
        <f t="shared" ca="1" si="33"/>
        <v>0</v>
      </c>
      <c r="P280" s="2">
        <f t="shared" ca="1" si="34"/>
        <v>50</v>
      </c>
      <c r="Q280" s="2">
        <v>0</v>
      </c>
      <c r="R280" s="2">
        <f t="shared" si="35"/>
        <v>50</v>
      </c>
      <c r="S280" s="2">
        <v>0</v>
      </c>
      <c r="T280" s="2">
        <v>0</v>
      </c>
      <c r="U280" s="2">
        <v>0</v>
      </c>
      <c r="V280" s="2">
        <f t="shared" si="36"/>
        <v>0</v>
      </c>
      <c r="W280" s="2">
        <v>0</v>
      </c>
      <c r="X280" s="2">
        <f t="shared" si="37"/>
        <v>0</v>
      </c>
      <c r="Y280" s="2">
        <v>0</v>
      </c>
      <c r="Z280" s="2">
        <f t="shared" si="38"/>
        <v>0</v>
      </c>
      <c r="AA280" s="2">
        <f t="shared" si="39"/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 x14ac:dyDescent="0.3">
      <c r="A281" s="2" t="s">
        <v>35</v>
      </c>
      <c r="B281" s="2" t="s">
        <v>794</v>
      </c>
      <c r="C281" s="2" t="s">
        <v>67</v>
      </c>
      <c r="D281" s="2" t="s">
        <v>795</v>
      </c>
      <c r="E281" s="2">
        <v>1994</v>
      </c>
      <c r="F281" s="2">
        <v>39</v>
      </c>
      <c r="G281" s="2">
        <v>22</v>
      </c>
      <c r="H281" s="2">
        <v>10</v>
      </c>
      <c r="I281" s="2">
        <v>13</v>
      </c>
      <c r="J281" s="2">
        <v>23</v>
      </c>
      <c r="K281" s="2">
        <f t="shared" ca="1" si="32"/>
        <v>32</v>
      </c>
      <c r="L281" s="2">
        <v>17</v>
      </c>
      <c r="M281" s="2">
        <v>22</v>
      </c>
      <c r="N281" s="2">
        <v>1885</v>
      </c>
      <c r="O281" s="2">
        <f t="shared" ca="1" si="33"/>
        <v>0.53125</v>
      </c>
      <c r="P281" s="2">
        <f t="shared" ca="1" si="34"/>
        <v>68.798076923076934</v>
      </c>
      <c r="Q281" s="2">
        <v>9.9863999999999997</v>
      </c>
      <c r="R281" s="2">
        <f t="shared" si="35"/>
        <v>93.04205128205129</v>
      </c>
      <c r="S281" s="2">
        <v>17</v>
      </c>
      <c r="T281" s="2">
        <v>39</v>
      </c>
      <c r="U281" s="2">
        <v>104.5882</v>
      </c>
      <c r="V281" s="2">
        <f t="shared" si="36"/>
        <v>42.16633016993535</v>
      </c>
      <c r="W281" s="2">
        <v>7</v>
      </c>
      <c r="X281" s="2">
        <f t="shared" si="37"/>
        <v>25.748786379167466</v>
      </c>
      <c r="Y281" s="2">
        <v>48</v>
      </c>
      <c r="Z281" s="2">
        <f t="shared" si="38"/>
        <v>28.565713714171402</v>
      </c>
      <c r="AA281" s="2">
        <f t="shared" si="39"/>
        <v>38.587554988622948</v>
      </c>
      <c r="AB281" s="2">
        <v>89.112300000000005</v>
      </c>
      <c r="AC281" s="2">
        <v>15</v>
      </c>
      <c r="AD281" s="2">
        <v>7</v>
      </c>
      <c r="AE281" s="2">
        <v>5</v>
      </c>
      <c r="AF281" s="2">
        <v>5</v>
      </c>
      <c r="AG281" s="2">
        <v>7</v>
      </c>
    </row>
    <row r="282" spans="1:33" x14ac:dyDescent="0.3">
      <c r="A282" s="2" t="s">
        <v>35</v>
      </c>
      <c r="B282" s="2" t="s">
        <v>797</v>
      </c>
      <c r="C282" s="2" t="s">
        <v>43</v>
      </c>
      <c r="D282" s="2" t="s">
        <v>798</v>
      </c>
      <c r="E282" s="2">
        <v>2006</v>
      </c>
      <c r="F282" s="2">
        <v>30</v>
      </c>
      <c r="G282" s="2">
        <v>6</v>
      </c>
      <c r="H282" s="2">
        <v>22</v>
      </c>
      <c r="I282" s="2">
        <v>19</v>
      </c>
      <c r="J282" s="2">
        <v>22</v>
      </c>
      <c r="K282" s="2">
        <f t="shared" ca="1" si="32"/>
        <v>20</v>
      </c>
      <c r="L282" s="2">
        <v>3</v>
      </c>
      <c r="M282" s="2">
        <v>3</v>
      </c>
      <c r="N282" s="2">
        <v>358</v>
      </c>
      <c r="O282" s="2">
        <f t="shared" ca="1" si="33"/>
        <v>0.15</v>
      </c>
      <c r="P282" s="2">
        <f t="shared" ca="1" si="34"/>
        <v>45.166666666666671</v>
      </c>
      <c r="Q282" s="2">
        <v>8.3407</v>
      </c>
      <c r="R282" s="2">
        <f t="shared" si="35"/>
        <v>72.469000000000008</v>
      </c>
      <c r="S282" s="2">
        <v>3</v>
      </c>
      <c r="T282" s="2">
        <v>18</v>
      </c>
      <c r="U282" s="2">
        <v>116.66670000000001</v>
      </c>
      <c r="V282" s="2">
        <f t="shared" si="36"/>
        <v>18.708289606481937</v>
      </c>
      <c r="W282" s="2">
        <v>3</v>
      </c>
      <c r="X282" s="2">
        <f t="shared" si="37"/>
        <v>7.3484692283495345</v>
      </c>
      <c r="Y282" s="2">
        <v>38</v>
      </c>
      <c r="Z282" s="2">
        <f t="shared" si="38"/>
        <v>10.677078252031311</v>
      </c>
      <c r="AA282" s="2">
        <f t="shared" si="39"/>
        <v>18.466188020270994</v>
      </c>
      <c r="AB282" s="2">
        <v>20.347000000000001</v>
      </c>
      <c r="AC282" s="2">
        <v>3</v>
      </c>
      <c r="AD282" s="2">
        <v>2</v>
      </c>
      <c r="AE282" s="2">
        <v>1</v>
      </c>
      <c r="AF282" s="2">
        <v>2</v>
      </c>
      <c r="AG282" s="2">
        <v>1</v>
      </c>
    </row>
    <row r="283" spans="1:33" x14ac:dyDescent="0.3">
      <c r="A283" s="2" t="s">
        <v>35</v>
      </c>
      <c r="B283" s="2" t="s">
        <v>800</v>
      </c>
      <c r="C283" s="2" t="s">
        <v>91</v>
      </c>
      <c r="D283" s="2" t="s">
        <v>801</v>
      </c>
      <c r="E283" s="2">
        <v>1980</v>
      </c>
      <c r="F283" s="2">
        <v>132</v>
      </c>
      <c r="G283" s="2">
        <v>29</v>
      </c>
      <c r="H283" s="2">
        <v>44</v>
      </c>
      <c r="I283" s="2">
        <v>23</v>
      </c>
      <c r="J283" s="2">
        <v>44</v>
      </c>
      <c r="K283" s="2">
        <f t="shared" ca="1" si="32"/>
        <v>46</v>
      </c>
      <c r="L283" s="2">
        <v>25</v>
      </c>
      <c r="M283" s="2">
        <v>38</v>
      </c>
      <c r="N283" s="2">
        <v>3199</v>
      </c>
      <c r="O283" s="2">
        <f t="shared" ca="1" si="33"/>
        <v>0.54347826086956519</v>
      </c>
      <c r="P283" s="2">
        <f t="shared" ca="1" si="34"/>
        <v>33.820816864295125</v>
      </c>
      <c r="Q283" s="2">
        <v>19.142600000000002</v>
      </c>
      <c r="R283" s="2">
        <f t="shared" si="35"/>
        <v>47.911060606060609</v>
      </c>
      <c r="S283" s="2">
        <v>25</v>
      </c>
      <c r="T283" s="2">
        <v>56</v>
      </c>
      <c r="U283" s="2">
        <v>116.16</v>
      </c>
      <c r="V283" s="2">
        <f t="shared" si="36"/>
        <v>53.888774341229919</v>
      </c>
      <c r="W283" s="2">
        <v>8</v>
      </c>
      <c r="X283" s="2">
        <f t="shared" si="37"/>
        <v>37.416573867739416</v>
      </c>
      <c r="Y283" s="2">
        <v>43</v>
      </c>
      <c r="Z283" s="2">
        <f t="shared" si="38"/>
        <v>32.787192621510002</v>
      </c>
      <c r="AA283" s="2">
        <f t="shared" si="39"/>
        <v>47.738873049120045</v>
      </c>
      <c r="AB283" s="2">
        <v>125.4392</v>
      </c>
      <c r="AC283" s="2">
        <v>17</v>
      </c>
      <c r="AD283" s="2">
        <v>10</v>
      </c>
      <c r="AE283" s="2">
        <v>0</v>
      </c>
      <c r="AF283" s="2">
        <v>14</v>
      </c>
      <c r="AG283" s="2">
        <v>9</v>
      </c>
    </row>
    <row r="284" spans="1:33" x14ac:dyDescent="0.3">
      <c r="A284" s="2" t="s">
        <v>35</v>
      </c>
      <c r="B284" s="2" t="s">
        <v>803</v>
      </c>
      <c r="C284" s="2" t="s">
        <v>91</v>
      </c>
      <c r="D284" s="2" t="s">
        <v>804</v>
      </c>
      <c r="E284" s="2">
        <v>2025</v>
      </c>
      <c r="F284" s="2">
        <v>2</v>
      </c>
      <c r="G284" s="2">
        <v>1</v>
      </c>
      <c r="H284" s="2">
        <v>0</v>
      </c>
      <c r="I284" s="2">
        <v>0</v>
      </c>
      <c r="J284" s="2">
        <v>0</v>
      </c>
      <c r="K284" s="2">
        <f t="shared" ca="1" si="32"/>
        <v>1</v>
      </c>
      <c r="L284" s="2">
        <v>1</v>
      </c>
      <c r="M284" s="2">
        <v>0</v>
      </c>
      <c r="N284" s="2">
        <v>1</v>
      </c>
      <c r="O284" s="2">
        <f t="shared" ca="1" si="33"/>
        <v>1</v>
      </c>
      <c r="P284" s="2">
        <f t="shared" ca="1" si="34"/>
        <v>95</v>
      </c>
      <c r="Q284" s="2">
        <v>0.70709999999999995</v>
      </c>
      <c r="R284" s="2">
        <f t="shared" si="35"/>
        <v>80.355000000000004</v>
      </c>
      <c r="S284" s="2">
        <v>1</v>
      </c>
      <c r="T284" s="2">
        <v>1</v>
      </c>
      <c r="U284" s="2">
        <v>1</v>
      </c>
      <c r="V284" s="2">
        <f t="shared" si="36"/>
        <v>1</v>
      </c>
      <c r="W284" s="2">
        <v>1</v>
      </c>
      <c r="X284" s="2">
        <f t="shared" si="37"/>
        <v>1</v>
      </c>
      <c r="Y284" s="2">
        <v>1</v>
      </c>
      <c r="Z284" s="2">
        <f t="shared" si="38"/>
        <v>1</v>
      </c>
      <c r="AA284" s="2">
        <f t="shared" si="39"/>
        <v>0</v>
      </c>
      <c r="AB284" s="2">
        <v>1</v>
      </c>
      <c r="AC284" s="2">
        <v>0</v>
      </c>
      <c r="AD284" s="2">
        <v>0</v>
      </c>
      <c r="AE284" s="2">
        <v>0</v>
      </c>
      <c r="AF284" s="2">
        <v>1</v>
      </c>
      <c r="AG284" s="2">
        <v>0</v>
      </c>
    </row>
    <row r="285" spans="1:33" x14ac:dyDescent="0.3">
      <c r="A285" s="2" t="s">
        <v>35</v>
      </c>
      <c r="B285" s="2" t="s">
        <v>806</v>
      </c>
      <c r="C285" s="2" t="s">
        <v>74</v>
      </c>
      <c r="D285" s="2" t="s">
        <v>807</v>
      </c>
      <c r="E285" s="2">
        <v>1970</v>
      </c>
      <c r="F285" s="2">
        <v>129</v>
      </c>
      <c r="G285" s="2">
        <v>18</v>
      </c>
      <c r="H285" s="2">
        <v>43</v>
      </c>
      <c r="I285" s="2">
        <v>39</v>
      </c>
      <c r="J285" s="2">
        <v>60</v>
      </c>
      <c r="K285" s="2">
        <f t="shared" ca="1" si="32"/>
        <v>56</v>
      </c>
      <c r="L285" s="2">
        <v>15</v>
      </c>
      <c r="M285" s="2">
        <v>25</v>
      </c>
      <c r="N285" s="2">
        <v>856</v>
      </c>
      <c r="O285" s="2">
        <f t="shared" ca="1" si="33"/>
        <v>0.26785714285714285</v>
      </c>
      <c r="P285" s="2">
        <f t="shared" ca="1" si="34"/>
        <v>33.69601328903655</v>
      </c>
      <c r="Q285" s="2">
        <v>8.6659000000000006</v>
      </c>
      <c r="R285" s="2">
        <f t="shared" si="35"/>
        <v>40.206124031007754</v>
      </c>
      <c r="S285" s="2">
        <v>15</v>
      </c>
      <c r="T285" s="2">
        <v>26</v>
      </c>
      <c r="U285" s="2">
        <v>38.7333</v>
      </c>
      <c r="V285" s="2">
        <f t="shared" si="36"/>
        <v>24.103931214637999</v>
      </c>
      <c r="W285" s="2">
        <v>5</v>
      </c>
      <c r="X285" s="2">
        <f t="shared" si="37"/>
        <v>19.748417658131498</v>
      </c>
      <c r="Y285" s="2">
        <v>21</v>
      </c>
      <c r="Z285" s="2">
        <f t="shared" si="38"/>
        <v>17.748239349298849</v>
      </c>
      <c r="AA285" s="2">
        <f t="shared" si="39"/>
        <v>18.867949014135057</v>
      </c>
      <c r="AB285" s="2">
        <v>52.668799999999997</v>
      </c>
      <c r="AC285" s="2">
        <v>9</v>
      </c>
      <c r="AD285" s="2">
        <v>4</v>
      </c>
      <c r="AE285" s="2">
        <v>4</v>
      </c>
      <c r="AF285" s="2">
        <v>13</v>
      </c>
      <c r="AG285" s="2">
        <v>7</v>
      </c>
    </row>
    <row r="286" spans="1:33" x14ac:dyDescent="0.3">
      <c r="A286" s="2" t="s">
        <v>35</v>
      </c>
      <c r="B286" s="2" t="s">
        <v>809</v>
      </c>
      <c r="C286" s="2" t="s">
        <v>51</v>
      </c>
      <c r="D286" s="2" t="s">
        <v>810</v>
      </c>
      <c r="E286" s="2">
        <v>1983</v>
      </c>
      <c r="F286" s="2">
        <v>42</v>
      </c>
      <c r="G286" s="2">
        <v>3</v>
      </c>
      <c r="H286" s="2">
        <v>14</v>
      </c>
      <c r="I286" s="2">
        <v>3</v>
      </c>
      <c r="J286" s="2">
        <v>14</v>
      </c>
      <c r="K286" s="2">
        <f t="shared" ca="1" si="32"/>
        <v>43</v>
      </c>
      <c r="L286" s="2">
        <v>7</v>
      </c>
      <c r="M286" s="2">
        <v>5</v>
      </c>
      <c r="N286" s="2">
        <v>208</v>
      </c>
      <c r="O286" s="2">
        <f t="shared" ca="1" si="33"/>
        <v>0.16279069767441862</v>
      </c>
      <c r="P286" s="2">
        <f t="shared" ca="1" si="34"/>
        <v>33.006644518272424</v>
      </c>
      <c r="Q286" s="2">
        <v>3.3534000000000002</v>
      </c>
      <c r="R286" s="2">
        <f t="shared" si="35"/>
        <v>40.603333333333332</v>
      </c>
      <c r="S286" s="2">
        <v>7</v>
      </c>
      <c r="T286" s="2">
        <v>14</v>
      </c>
      <c r="U286" s="2">
        <v>25.714300000000001</v>
      </c>
      <c r="V286" s="2">
        <f t="shared" si="36"/>
        <v>13.416411591778184</v>
      </c>
      <c r="W286" s="2">
        <v>3</v>
      </c>
      <c r="X286" s="2">
        <f t="shared" si="37"/>
        <v>9.8994949366116654</v>
      </c>
      <c r="Y286" s="2">
        <v>10</v>
      </c>
      <c r="Z286" s="2">
        <f t="shared" si="38"/>
        <v>8.3666002653407556</v>
      </c>
      <c r="AA286" s="2">
        <f t="shared" si="39"/>
        <v>11.445527510779046</v>
      </c>
      <c r="AB286" s="2">
        <v>19.874600000000001</v>
      </c>
      <c r="AC286" s="2">
        <v>5</v>
      </c>
      <c r="AD286" s="2">
        <v>1</v>
      </c>
      <c r="AE286" s="2">
        <v>4</v>
      </c>
      <c r="AF286" s="2">
        <v>3</v>
      </c>
      <c r="AG286" s="2">
        <v>1</v>
      </c>
    </row>
    <row r="287" spans="1:33" x14ac:dyDescent="0.3">
      <c r="A287" s="2" t="s">
        <v>35</v>
      </c>
      <c r="B287" s="2" t="s">
        <v>812</v>
      </c>
      <c r="C287" s="2" t="s">
        <v>43</v>
      </c>
      <c r="D287" s="2" t="s">
        <v>813</v>
      </c>
      <c r="E287" s="2">
        <v>2026</v>
      </c>
      <c r="F287" s="2">
        <v>1</v>
      </c>
      <c r="G287" s="2">
        <v>0</v>
      </c>
      <c r="H287" s="2">
        <v>0</v>
      </c>
      <c r="I287" s="2">
        <v>0</v>
      </c>
      <c r="J287" s="2">
        <v>0</v>
      </c>
      <c r="K287" s="2">
        <f t="shared" ca="1" si="32"/>
        <v>1</v>
      </c>
      <c r="L287" s="2">
        <v>1</v>
      </c>
      <c r="M287" s="2">
        <v>1</v>
      </c>
      <c r="N287" s="2">
        <v>10</v>
      </c>
      <c r="O287" s="2">
        <f t="shared" ca="1" si="33"/>
        <v>1</v>
      </c>
      <c r="P287" s="2">
        <f t="shared" ca="1" si="34"/>
        <v>200</v>
      </c>
      <c r="Q287" s="2">
        <v>3.1623000000000001</v>
      </c>
      <c r="R287" s="2">
        <f t="shared" si="35"/>
        <v>416.23</v>
      </c>
      <c r="S287" s="2">
        <v>1</v>
      </c>
      <c r="T287" s="2">
        <v>1</v>
      </c>
      <c r="U287" s="2">
        <v>10</v>
      </c>
      <c r="V287" s="2">
        <f t="shared" si="36"/>
        <v>3.1622776601683795</v>
      </c>
      <c r="W287" s="2">
        <v>1</v>
      </c>
      <c r="X287" s="2">
        <f t="shared" si="37"/>
        <v>1</v>
      </c>
      <c r="Y287" s="2">
        <v>10</v>
      </c>
      <c r="Z287" s="2">
        <f t="shared" si="38"/>
        <v>3.1622776601683795</v>
      </c>
      <c r="AA287" s="2">
        <f t="shared" si="39"/>
        <v>3</v>
      </c>
      <c r="AB287" s="2">
        <v>3.1623000000000001</v>
      </c>
      <c r="AC287" s="2">
        <v>1</v>
      </c>
      <c r="AD287" s="2">
        <v>0</v>
      </c>
      <c r="AE287" s="2">
        <v>0</v>
      </c>
      <c r="AF287" s="2">
        <v>1</v>
      </c>
      <c r="AG287" s="2">
        <v>0</v>
      </c>
    </row>
    <row r="288" spans="1:33" x14ac:dyDescent="0.3">
      <c r="A288" s="2" t="s">
        <v>35</v>
      </c>
      <c r="B288" s="2" t="s">
        <v>1130</v>
      </c>
      <c r="C288" s="2" t="s">
        <v>91</v>
      </c>
      <c r="D288" s="2" t="s">
        <v>1131</v>
      </c>
      <c r="E288" s="2">
        <v>2025</v>
      </c>
      <c r="F288" s="2">
        <v>1</v>
      </c>
      <c r="G288" s="2">
        <v>0</v>
      </c>
      <c r="H288" s="2">
        <v>1</v>
      </c>
      <c r="I288" s="2">
        <v>1</v>
      </c>
      <c r="J288" s="2">
        <v>1</v>
      </c>
      <c r="K288" s="2">
        <f t="shared" ca="1" si="32"/>
        <v>1</v>
      </c>
      <c r="L288" s="2">
        <v>0</v>
      </c>
      <c r="M288" s="2">
        <v>0</v>
      </c>
      <c r="N288" s="2">
        <v>0</v>
      </c>
      <c r="O288" s="2">
        <f t="shared" ca="1" si="33"/>
        <v>0</v>
      </c>
      <c r="P288" s="2">
        <f t="shared" ca="1" si="34"/>
        <v>50</v>
      </c>
      <c r="Q288" s="2">
        <v>0</v>
      </c>
      <c r="R288" s="2">
        <f t="shared" si="35"/>
        <v>50</v>
      </c>
      <c r="S288" s="2">
        <v>0</v>
      </c>
      <c r="T288" s="2">
        <v>0</v>
      </c>
      <c r="U288" s="2">
        <v>0</v>
      </c>
      <c r="V288" s="2">
        <f t="shared" si="36"/>
        <v>0</v>
      </c>
      <c r="W288" s="2">
        <v>0</v>
      </c>
      <c r="X288" s="2">
        <f t="shared" si="37"/>
        <v>0</v>
      </c>
      <c r="Y288" s="2">
        <v>0</v>
      </c>
      <c r="Z288" s="2">
        <f t="shared" si="38"/>
        <v>0</v>
      </c>
      <c r="AA288" s="2">
        <f t="shared" si="39"/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</row>
    <row r="289" spans="1:33" x14ac:dyDescent="0.3">
      <c r="A289" s="2" t="s">
        <v>35</v>
      </c>
      <c r="B289" s="2" t="s">
        <v>815</v>
      </c>
      <c r="C289" s="2" t="s">
        <v>62</v>
      </c>
      <c r="D289" s="2" t="s">
        <v>816</v>
      </c>
      <c r="E289" s="2">
        <v>1982</v>
      </c>
      <c r="F289" s="2">
        <v>306</v>
      </c>
      <c r="G289" s="2">
        <v>12</v>
      </c>
      <c r="H289" s="2">
        <v>78</v>
      </c>
      <c r="I289" s="2">
        <v>53</v>
      </c>
      <c r="J289" s="2">
        <v>99</v>
      </c>
      <c r="K289" s="2">
        <f t="shared" ca="1" si="32"/>
        <v>44</v>
      </c>
      <c r="L289" s="2">
        <v>39</v>
      </c>
      <c r="M289" s="2">
        <v>116</v>
      </c>
      <c r="N289" s="2">
        <v>6005</v>
      </c>
      <c r="O289" s="2">
        <f t="shared" ca="1" si="33"/>
        <v>0.88636363636363635</v>
      </c>
      <c r="P289" s="2">
        <f t="shared" ca="1" si="34"/>
        <v>28.819073083778967</v>
      </c>
      <c r="Q289" s="2">
        <v>11.6691</v>
      </c>
      <c r="R289" s="2">
        <f t="shared" si="35"/>
        <v>32.342843137254903</v>
      </c>
      <c r="S289" s="2">
        <v>39</v>
      </c>
      <c r="T289" s="2">
        <v>70</v>
      </c>
      <c r="U289" s="2">
        <v>102.66670000000001</v>
      </c>
      <c r="V289" s="2">
        <f t="shared" si="36"/>
        <v>63.277178350492214</v>
      </c>
      <c r="W289" s="2">
        <v>9</v>
      </c>
      <c r="X289" s="2">
        <f t="shared" si="37"/>
        <v>52.249401910452526</v>
      </c>
      <c r="Y289" s="2">
        <v>66</v>
      </c>
      <c r="Z289" s="2">
        <f t="shared" si="38"/>
        <v>50.734603575863289</v>
      </c>
      <c r="AA289" s="2">
        <f t="shared" si="39"/>
        <v>49.829723057628968</v>
      </c>
      <c r="AB289" s="2">
        <v>217.98390000000001</v>
      </c>
      <c r="AC289" s="2">
        <v>30</v>
      </c>
      <c r="AD289" s="2">
        <v>23</v>
      </c>
      <c r="AE289" s="2">
        <v>24</v>
      </c>
      <c r="AF289" s="2">
        <v>16</v>
      </c>
      <c r="AG289" s="2">
        <v>13</v>
      </c>
    </row>
    <row r="290" spans="1:33" x14ac:dyDescent="0.3">
      <c r="A290" s="2" t="s">
        <v>35</v>
      </c>
      <c r="B290" s="2" t="s">
        <v>818</v>
      </c>
      <c r="C290" s="2" t="s">
        <v>38</v>
      </c>
      <c r="D290" s="2" t="s">
        <v>819</v>
      </c>
      <c r="E290" s="2">
        <v>1958</v>
      </c>
      <c r="F290" s="2">
        <v>2764</v>
      </c>
      <c r="G290" s="2">
        <v>829</v>
      </c>
      <c r="H290" s="2">
        <v>922</v>
      </c>
      <c r="I290" s="2">
        <v>358</v>
      </c>
      <c r="J290" s="2">
        <v>979</v>
      </c>
      <c r="K290" s="2">
        <f t="shared" ca="1" si="32"/>
        <v>68</v>
      </c>
      <c r="L290" s="2">
        <v>77</v>
      </c>
      <c r="M290" s="2">
        <v>723</v>
      </c>
      <c r="N290" s="2">
        <v>33569</v>
      </c>
      <c r="O290" s="2">
        <f t="shared" ca="1" si="33"/>
        <v>1.1323529411764706</v>
      </c>
      <c r="P290" s="2">
        <f t="shared" ca="1" si="34"/>
        <v>17.537349961692346</v>
      </c>
      <c r="Q290" s="2">
        <v>29.765699999999999</v>
      </c>
      <c r="R290" s="2">
        <f t="shared" si="35"/>
        <v>18.573288712011578</v>
      </c>
      <c r="S290" s="2">
        <v>76</v>
      </c>
      <c r="T290" s="2">
        <v>125</v>
      </c>
      <c r="U290" s="2">
        <v>163.34209999999999</v>
      </c>
      <c r="V290" s="2">
        <f t="shared" si="36"/>
        <v>111.41812958401339</v>
      </c>
      <c r="W290" s="2">
        <v>15</v>
      </c>
      <c r="X290" s="2">
        <f t="shared" si="37"/>
        <v>97.467943448089642</v>
      </c>
      <c r="Y290" s="2">
        <v>129.5</v>
      </c>
      <c r="Z290" s="2">
        <f t="shared" si="38"/>
        <v>99.206854601887258</v>
      </c>
      <c r="AA290" s="2">
        <f t="shared" si="39"/>
        <v>81.473919753501477</v>
      </c>
      <c r="AB290" s="2">
        <v>582.47659999999996</v>
      </c>
      <c r="AC290" s="2">
        <v>50</v>
      </c>
      <c r="AD290" s="2">
        <v>37</v>
      </c>
      <c r="AE290" s="2">
        <v>41</v>
      </c>
      <c r="AF290" s="2">
        <v>60</v>
      </c>
      <c r="AG290" s="2">
        <v>27</v>
      </c>
    </row>
    <row r="291" spans="1:33" x14ac:dyDescent="0.3">
      <c r="A291" s="2" t="s">
        <v>35</v>
      </c>
      <c r="B291" s="2" t="s">
        <v>821</v>
      </c>
      <c r="C291" s="2" t="s">
        <v>43</v>
      </c>
      <c r="D291" s="2" t="s">
        <v>822</v>
      </c>
      <c r="E291" s="2">
        <v>2019</v>
      </c>
      <c r="F291" s="2">
        <v>8</v>
      </c>
      <c r="G291" s="2">
        <v>1</v>
      </c>
      <c r="H291" s="2">
        <v>2</v>
      </c>
      <c r="I291" s="2">
        <v>0</v>
      </c>
      <c r="J291" s="2">
        <v>2</v>
      </c>
      <c r="K291" s="2">
        <f t="shared" ca="1" si="32"/>
        <v>7</v>
      </c>
      <c r="L291" s="2">
        <v>1</v>
      </c>
      <c r="M291" s="2">
        <v>0</v>
      </c>
      <c r="N291" s="2">
        <v>6</v>
      </c>
      <c r="O291" s="2">
        <f t="shared" ca="1" si="33"/>
        <v>0.14285714285714285</v>
      </c>
      <c r="P291" s="2">
        <f t="shared" ca="1" si="34"/>
        <v>25.535714285714285</v>
      </c>
      <c r="Q291" s="2">
        <v>0.92579999999999996</v>
      </c>
      <c r="R291" s="2">
        <f t="shared" si="35"/>
        <v>35.322499999999998</v>
      </c>
      <c r="S291" s="2">
        <v>1</v>
      </c>
      <c r="T291" s="2">
        <v>2</v>
      </c>
      <c r="U291" s="2">
        <v>6</v>
      </c>
      <c r="V291" s="2">
        <f t="shared" si="36"/>
        <v>2.4494897427831779</v>
      </c>
      <c r="W291" s="2">
        <v>1</v>
      </c>
      <c r="X291" s="2">
        <f t="shared" si="37"/>
        <v>1.4142135623730951</v>
      </c>
      <c r="Y291" s="2">
        <v>6</v>
      </c>
      <c r="Z291" s="2">
        <f t="shared" si="38"/>
        <v>2.4494897427831779</v>
      </c>
      <c r="AA291" s="2">
        <f t="shared" si="39"/>
        <v>2.2360679774997898</v>
      </c>
      <c r="AB291" s="2">
        <v>2.4495</v>
      </c>
      <c r="AC291" s="2">
        <v>1</v>
      </c>
      <c r="AD291" s="2">
        <v>1</v>
      </c>
      <c r="AE291" s="2">
        <v>0</v>
      </c>
      <c r="AF291" s="2">
        <v>0</v>
      </c>
      <c r="AG291" s="2">
        <v>0</v>
      </c>
    </row>
    <row r="292" spans="1:33" x14ac:dyDescent="0.3">
      <c r="A292" s="2" t="s">
        <v>35</v>
      </c>
      <c r="B292" s="2" t="s">
        <v>824</v>
      </c>
      <c r="C292" s="2" t="s">
        <v>38</v>
      </c>
      <c r="D292" s="2" t="s">
        <v>825</v>
      </c>
      <c r="E292" s="2">
        <v>1979</v>
      </c>
      <c r="F292" s="2">
        <v>105</v>
      </c>
      <c r="G292" s="2">
        <v>25</v>
      </c>
      <c r="H292" s="2">
        <v>21</v>
      </c>
      <c r="I292" s="2">
        <v>6</v>
      </c>
      <c r="J292" s="2">
        <v>22</v>
      </c>
      <c r="K292" s="2">
        <f t="shared" ca="1" si="32"/>
        <v>47</v>
      </c>
      <c r="L292" s="2">
        <v>15</v>
      </c>
      <c r="M292" s="2">
        <v>24</v>
      </c>
      <c r="N292" s="2">
        <v>855</v>
      </c>
      <c r="O292" s="2">
        <f t="shared" ca="1" si="33"/>
        <v>0.31914893617021278</v>
      </c>
      <c r="P292" s="2">
        <f t="shared" ca="1" si="34"/>
        <v>22.684903748733532</v>
      </c>
      <c r="Q292" s="2">
        <v>6.0766</v>
      </c>
      <c r="R292" s="2">
        <f t="shared" si="35"/>
        <v>28.168190476190475</v>
      </c>
      <c r="S292" s="2">
        <v>15</v>
      </c>
      <c r="T292" s="2">
        <v>27</v>
      </c>
      <c r="U292" s="2">
        <v>42.4</v>
      </c>
      <c r="V292" s="2">
        <f t="shared" si="36"/>
        <v>25.219040425836983</v>
      </c>
      <c r="W292" s="2">
        <v>6</v>
      </c>
      <c r="X292" s="2">
        <f t="shared" si="37"/>
        <v>20.124611797498108</v>
      </c>
      <c r="Y292" s="2">
        <v>38</v>
      </c>
      <c r="Z292" s="2">
        <f t="shared" si="38"/>
        <v>23.874672772626646</v>
      </c>
      <c r="AA292" s="2">
        <f t="shared" si="39"/>
        <v>20.273134932713294</v>
      </c>
      <c r="AB292" s="2">
        <v>61.343299999999999</v>
      </c>
      <c r="AC292" s="2">
        <v>11</v>
      </c>
      <c r="AD292" s="2">
        <v>6</v>
      </c>
      <c r="AE292" s="2">
        <v>8</v>
      </c>
      <c r="AF292" s="2">
        <v>11</v>
      </c>
      <c r="AG292" s="2">
        <v>1</v>
      </c>
    </row>
    <row r="293" spans="1:33" x14ac:dyDescent="0.3">
      <c r="A293" s="2" t="s">
        <v>35</v>
      </c>
      <c r="B293" s="2" t="s">
        <v>827</v>
      </c>
      <c r="C293" s="2" t="s">
        <v>128</v>
      </c>
      <c r="D293" s="2" t="s">
        <v>828</v>
      </c>
      <c r="E293" s="2">
        <v>2001</v>
      </c>
      <c r="F293" s="2">
        <v>63</v>
      </c>
      <c r="G293" s="2">
        <v>1</v>
      </c>
      <c r="H293" s="2">
        <v>30</v>
      </c>
      <c r="I293" s="2">
        <v>27</v>
      </c>
      <c r="J293" s="2">
        <v>39</v>
      </c>
      <c r="K293" s="2">
        <f t="shared" ca="1" si="32"/>
        <v>25</v>
      </c>
      <c r="L293" s="2">
        <v>13</v>
      </c>
      <c r="M293" s="2">
        <v>16</v>
      </c>
      <c r="N293" s="2">
        <v>651</v>
      </c>
      <c r="O293" s="2">
        <f t="shared" ca="1" si="33"/>
        <v>0.52</v>
      </c>
      <c r="P293" s="2">
        <f t="shared" ca="1" si="34"/>
        <v>52.253968253968253</v>
      </c>
      <c r="Q293" s="2">
        <v>6.7667999999999999</v>
      </c>
      <c r="R293" s="2">
        <f t="shared" si="35"/>
        <v>62.169523809523795</v>
      </c>
      <c r="S293" s="2">
        <v>13</v>
      </c>
      <c r="T293" s="2">
        <v>24</v>
      </c>
      <c r="U293" s="2">
        <v>38.923099999999998</v>
      </c>
      <c r="V293" s="2">
        <f t="shared" si="36"/>
        <v>22.494450426716362</v>
      </c>
      <c r="W293" s="2">
        <v>5</v>
      </c>
      <c r="X293" s="2">
        <f t="shared" si="37"/>
        <v>17.663521732655695</v>
      </c>
      <c r="Y293" s="2">
        <v>26</v>
      </c>
      <c r="Z293" s="2">
        <f t="shared" si="38"/>
        <v>18.384776310850235</v>
      </c>
      <c r="AA293" s="2">
        <f t="shared" si="39"/>
        <v>18.357567921704661</v>
      </c>
      <c r="AB293" s="2">
        <v>47.989600000000003</v>
      </c>
      <c r="AC293" s="2">
        <v>11</v>
      </c>
      <c r="AD293" s="2">
        <v>5</v>
      </c>
      <c r="AE293" s="2">
        <v>6</v>
      </c>
      <c r="AF293" s="2">
        <v>1</v>
      </c>
      <c r="AG293" s="2">
        <v>10</v>
      </c>
    </row>
    <row r="294" spans="1:33" x14ac:dyDescent="0.3">
      <c r="A294" s="2" t="s">
        <v>35</v>
      </c>
      <c r="B294" s="2" t="s">
        <v>830</v>
      </c>
      <c r="C294" s="2" t="s">
        <v>109</v>
      </c>
      <c r="D294" s="2" t="s">
        <v>831</v>
      </c>
      <c r="E294" s="2">
        <v>1981</v>
      </c>
      <c r="F294" s="2">
        <v>299</v>
      </c>
      <c r="G294" s="2">
        <v>21</v>
      </c>
      <c r="H294" s="2">
        <v>48</v>
      </c>
      <c r="I294" s="2">
        <v>28</v>
      </c>
      <c r="J294" s="2">
        <v>58</v>
      </c>
      <c r="K294" s="2">
        <f t="shared" ca="1" si="32"/>
        <v>45</v>
      </c>
      <c r="L294" s="2">
        <v>29</v>
      </c>
      <c r="M294" s="2">
        <v>90</v>
      </c>
      <c r="N294" s="2">
        <v>3225</v>
      </c>
      <c r="O294" s="2">
        <f t="shared" ca="1" si="33"/>
        <v>0.64444444444444449</v>
      </c>
      <c r="P294" s="2">
        <f t="shared" ca="1" si="34"/>
        <v>18.911185432924562</v>
      </c>
      <c r="Q294" s="2">
        <v>12.6737</v>
      </c>
      <c r="R294" s="2">
        <f t="shared" si="35"/>
        <v>22.934347826086956</v>
      </c>
      <c r="S294" s="2">
        <v>29</v>
      </c>
      <c r="T294" s="2">
        <v>44</v>
      </c>
      <c r="U294" s="2">
        <v>55.241399999999999</v>
      </c>
      <c r="V294" s="2">
        <f t="shared" si="36"/>
        <v>40.024999687695185</v>
      </c>
      <c r="W294" s="2">
        <v>8</v>
      </c>
      <c r="X294" s="2">
        <f t="shared" si="37"/>
        <v>35.7211421989835</v>
      </c>
      <c r="Y294" s="2">
        <v>43</v>
      </c>
      <c r="Z294" s="2">
        <f t="shared" si="38"/>
        <v>35.312887166019152</v>
      </c>
      <c r="AA294" s="2">
        <f t="shared" si="39"/>
        <v>27.586239323256802</v>
      </c>
      <c r="AB294" s="2">
        <v>133.19159999999999</v>
      </c>
      <c r="AC294" s="2">
        <v>19</v>
      </c>
      <c r="AD294" s="2">
        <v>8</v>
      </c>
      <c r="AE294" s="2">
        <v>25</v>
      </c>
      <c r="AF294" s="2">
        <v>14</v>
      </c>
      <c r="AG294" s="2">
        <v>8</v>
      </c>
    </row>
    <row r="295" spans="1:33" x14ac:dyDescent="0.3">
      <c r="A295" s="2" t="s">
        <v>35</v>
      </c>
      <c r="B295" s="2" t="s">
        <v>833</v>
      </c>
      <c r="C295" s="2" t="s">
        <v>74</v>
      </c>
      <c r="D295" s="2" t="s">
        <v>834</v>
      </c>
      <c r="E295" s="2">
        <v>1993</v>
      </c>
      <c r="F295" s="2">
        <v>113</v>
      </c>
      <c r="G295" s="2">
        <v>13</v>
      </c>
      <c r="H295" s="2">
        <v>20</v>
      </c>
      <c r="I295" s="2">
        <v>72</v>
      </c>
      <c r="J295" s="2">
        <v>80</v>
      </c>
      <c r="K295" s="2">
        <f t="shared" ca="1" si="32"/>
        <v>33</v>
      </c>
      <c r="L295" s="2">
        <v>24</v>
      </c>
      <c r="M295" s="2">
        <v>49</v>
      </c>
      <c r="N295" s="2">
        <v>1835</v>
      </c>
      <c r="O295" s="2">
        <f t="shared" ca="1" si="33"/>
        <v>0.72727272727272729</v>
      </c>
      <c r="P295" s="2">
        <f t="shared" ca="1" si="34"/>
        <v>56.130329847144012</v>
      </c>
      <c r="Q295" s="2">
        <v>12.165100000000001</v>
      </c>
      <c r="R295" s="2">
        <f t="shared" si="35"/>
        <v>66.252300884955758</v>
      </c>
      <c r="S295" s="2">
        <v>24</v>
      </c>
      <c r="T295" s="2">
        <v>39</v>
      </c>
      <c r="U295" s="2">
        <v>51.791699999999999</v>
      </c>
      <c r="V295" s="2">
        <f t="shared" si="36"/>
        <v>35.256216473127118</v>
      </c>
      <c r="W295" s="2">
        <v>7</v>
      </c>
      <c r="X295" s="2">
        <f t="shared" si="37"/>
        <v>30.594117081556711</v>
      </c>
      <c r="Y295" s="2">
        <v>45.5</v>
      </c>
      <c r="Z295" s="2">
        <f t="shared" si="38"/>
        <v>33.045423283716609</v>
      </c>
      <c r="AA295" s="2">
        <f t="shared" si="39"/>
        <v>25.826358628347126</v>
      </c>
      <c r="AB295" s="2">
        <v>107.429</v>
      </c>
      <c r="AC295" s="2">
        <v>23</v>
      </c>
      <c r="AD295" s="2">
        <v>6</v>
      </c>
      <c r="AE295" s="2">
        <v>4</v>
      </c>
      <c r="AF295" s="2">
        <v>7</v>
      </c>
      <c r="AG295" s="2">
        <v>20</v>
      </c>
    </row>
    <row r="296" spans="1:33" x14ac:dyDescent="0.3">
      <c r="A296" s="2" t="s">
        <v>35</v>
      </c>
      <c r="B296" s="2" t="s">
        <v>836</v>
      </c>
      <c r="C296" s="2" t="s">
        <v>67</v>
      </c>
      <c r="D296" s="2" t="s">
        <v>837</v>
      </c>
      <c r="E296" s="2">
        <v>1996</v>
      </c>
      <c r="F296" s="2">
        <v>9</v>
      </c>
      <c r="G296" s="2">
        <v>2</v>
      </c>
      <c r="H296" s="2">
        <v>5</v>
      </c>
      <c r="I296" s="2">
        <v>2</v>
      </c>
      <c r="J296" s="2">
        <v>5</v>
      </c>
      <c r="K296" s="2">
        <f t="shared" ca="1" si="32"/>
        <v>30</v>
      </c>
      <c r="L296" s="2">
        <v>2</v>
      </c>
      <c r="M296" s="2">
        <v>0</v>
      </c>
      <c r="N296" s="2">
        <v>13</v>
      </c>
      <c r="O296" s="2">
        <f t="shared" ca="1" si="33"/>
        <v>6.6666666666666666E-2</v>
      </c>
      <c r="P296" s="2">
        <f t="shared" ca="1" si="34"/>
        <v>48.518518518518512</v>
      </c>
      <c r="Q296" s="2">
        <v>1.2041999999999999</v>
      </c>
      <c r="R296" s="2">
        <f t="shared" si="35"/>
        <v>61.157777777777774</v>
      </c>
      <c r="S296" s="2">
        <v>2</v>
      </c>
      <c r="T296" s="2">
        <v>3</v>
      </c>
      <c r="U296" s="2">
        <v>4</v>
      </c>
      <c r="V296" s="2">
        <f t="shared" si="36"/>
        <v>2.8284271247461903</v>
      </c>
      <c r="W296" s="2">
        <v>1</v>
      </c>
      <c r="X296" s="2">
        <f t="shared" si="37"/>
        <v>2.4494897427831779</v>
      </c>
      <c r="Y296" s="2">
        <v>4</v>
      </c>
      <c r="Z296" s="2">
        <f t="shared" si="38"/>
        <v>2.8284271247461903</v>
      </c>
      <c r="AA296" s="2">
        <f t="shared" si="39"/>
        <v>2</v>
      </c>
      <c r="AB296" s="2">
        <v>3.1623000000000001</v>
      </c>
      <c r="AC296" s="2">
        <v>1</v>
      </c>
      <c r="AD296" s="2">
        <v>2</v>
      </c>
      <c r="AE296" s="2">
        <v>0</v>
      </c>
      <c r="AF296" s="2">
        <v>2</v>
      </c>
      <c r="AG296" s="2">
        <v>0</v>
      </c>
    </row>
    <row r="297" spans="1:33" x14ac:dyDescent="0.3">
      <c r="A297" s="2" t="s">
        <v>35</v>
      </c>
      <c r="B297" s="2" t="s">
        <v>1132</v>
      </c>
      <c r="C297" s="2" t="s">
        <v>43</v>
      </c>
      <c r="D297" s="2" t="s">
        <v>1133</v>
      </c>
      <c r="E297" s="2">
        <v>2010</v>
      </c>
      <c r="F297" s="2">
        <v>3</v>
      </c>
      <c r="G297" s="2">
        <v>0</v>
      </c>
      <c r="H297" s="2">
        <v>3</v>
      </c>
      <c r="I297" s="2">
        <v>3</v>
      </c>
      <c r="J297" s="2">
        <v>3</v>
      </c>
      <c r="K297" s="2">
        <f t="shared" ca="1" si="32"/>
        <v>16</v>
      </c>
      <c r="L297" s="2">
        <v>0</v>
      </c>
      <c r="M297" s="2">
        <v>0</v>
      </c>
      <c r="N297" s="2">
        <v>0</v>
      </c>
      <c r="O297" s="2">
        <f t="shared" ca="1" si="33"/>
        <v>0</v>
      </c>
      <c r="P297" s="2">
        <f t="shared" ca="1" si="34"/>
        <v>50</v>
      </c>
      <c r="Q297" s="2">
        <v>0</v>
      </c>
      <c r="R297" s="2">
        <f t="shared" si="35"/>
        <v>50</v>
      </c>
      <c r="S297" s="2">
        <v>0</v>
      </c>
      <c r="T297" s="2">
        <v>0</v>
      </c>
      <c r="U297" s="2">
        <v>0</v>
      </c>
      <c r="V297" s="2">
        <f t="shared" si="36"/>
        <v>0</v>
      </c>
      <c r="W297" s="2">
        <v>0</v>
      </c>
      <c r="X297" s="2">
        <f t="shared" si="37"/>
        <v>0</v>
      </c>
      <c r="Y297" s="2">
        <v>0</v>
      </c>
      <c r="Z297" s="2">
        <f t="shared" si="38"/>
        <v>0</v>
      </c>
      <c r="AA297" s="2">
        <f t="shared" si="39"/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 x14ac:dyDescent="0.3">
      <c r="A298" s="2" t="s">
        <v>35</v>
      </c>
      <c r="B298" s="2" t="s">
        <v>839</v>
      </c>
      <c r="C298" s="2" t="s">
        <v>91</v>
      </c>
      <c r="D298" s="2" t="s">
        <v>840</v>
      </c>
      <c r="E298" s="2">
        <v>1971</v>
      </c>
      <c r="F298" s="2">
        <v>76</v>
      </c>
      <c r="G298" s="2">
        <v>22</v>
      </c>
      <c r="H298" s="2">
        <v>30</v>
      </c>
      <c r="I298" s="2">
        <v>18</v>
      </c>
      <c r="J298" s="2">
        <v>38</v>
      </c>
      <c r="K298" s="2">
        <f t="shared" ca="1" si="32"/>
        <v>55</v>
      </c>
      <c r="L298" s="2">
        <v>29</v>
      </c>
      <c r="M298" s="2">
        <v>50</v>
      </c>
      <c r="N298" s="2">
        <v>2163</v>
      </c>
      <c r="O298" s="2">
        <f t="shared" ca="1" si="33"/>
        <v>0.52727272727272723</v>
      </c>
      <c r="P298" s="2">
        <f t="shared" ca="1" si="34"/>
        <v>60.956937799043061</v>
      </c>
      <c r="Q298" s="2">
        <v>12.020899999999999</v>
      </c>
      <c r="R298" s="2">
        <f t="shared" si="35"/>
        <v>76.080131578947373</v>
      </c>
      <c r="S298" s="2">
        <v>29</v>
      </c>
      <c r="T298" s="2">
        <v>45</v>
      </c>
      <c r="U298" s="2">
        <v>58.172400000000003</v>
      </c>
      <c r="V298" s="2">
        <f t="shared" si="36"/>
        <v>41.073100686459014</v>
      </c>
      <c r="W298" s="2">
        <v>8</v>
      </c>
      <c r="X298" s="2">
        <f t="shared" si="37"/>
        <v>36.124783736376884</v>
      </c>
      <c r="Y298" s="2">
        <v>46</v>
      </c>
      <c r="Z298" s="2">
        <f t="shared" si="38"/>
        <v>36.523964735499348</v>
      </c>
      <c r="AA298" s="2">
        <f t="shared" si="39"/>
        <v>29.086072268355522</v>
      </c>
      <c r="AB298" s="2">
        <v>139.01079999999999</v>
      </c>
      <c r="AC298" s="2">
        <v>23</v>
      </c>
      <c r="AD298" s="2">
        <v>13</v>
      </c>
      <c r="AE298" s="2">
        <v>7</v>
      </c>
      <c r="AF298" s="2">
        <v>13</v>
      </c>
      <c r="AG298" s="2">
        <v>14</v>
      </c>
    </row>
    <row r="299" spans="1:33" x14ac:dyDescent="0.3">
      <c r="A299" s="2" t="s">
        <v>35</v>
      </c>
      <c r="B299" s="2" t="s">
        <v>842</v>
      </c>
      <c r="C299" s="2" t="s">
        <v>43</v>
      </c>
      <c r="D299" s="2" t="s">
        <v>843</v>
      </c>
      <c r="E299" s="2">
        <v>1999</v>
      </c>
      <c r="F299" s="2">
        <v>14</v>
      </c>
      <c r="G299" s="2">
        <v>0</v>
      </c>
      <c r="H299" s="2">
        <v>14</v>
      </c>
      <c r="I299" s="2">
        <v>11</v>
      </c>
      <c r="J299" s="2">
        <v>14</v>
      </c>
      <c r="K299" s="2">
        <f t="shared" ca="1" si="32"/>
        <v>27</v>
      </c>
      <c r="L299" s="2">
        <v>3</v>
      </c>
      <c r="M299" s="2">
        <v>1</v>
      </c>
      <c r="N299" s="2">
        <v>33</v>
      </c>
      <c r="O299" s="2">
        <f t="shared" ca="1" si="33"/>
        <v>0.1111111111111111</v>
      </c>
      <c r="P299" s="2">
        <f t="shared" ca="1" si="34"/>
        <v>72.222222222222229</v>
      </c>
      <c r="Q299" s="2">
        <v>1.8833</v>
      </c>
      <c r="R299" s="2">
        <f t="shared" si="35"/>
        <v>84.880714285714291</v>
      </c>
      <c r="S299" s="2">
        <v>3</v>
      </c>
      <c r="T299" s="2">
        <v>5</v>
      </c>
      <c r="U299" s="2">
        <v>9.6667000000000005</v>
      </c>
      <c r="V299" s="2">
        <f t="shared" si="36"/>
        <v>5.3851740918934095</v>
      </c>
      <c r="W299" s="2">
        <v>2</v>
      </c>
      <c r="X299" s="2">
        <f t="shared" si="37"/>
        <v>3.872983346207417</v>
      </c>
      <c r="Y299" s="2">
        <v>4</v>
      </c>
      <c r="Z299" s="2">
        <f t="shared" si="38"/>
        <v>3.4641016151377544</v>
      </c>
      <c r="AA299" s="2">
        <f t="shared" si="39"/>
        <v>4.4721471353254918</v>
      </c>
      <c r="AB299" s="2">
        <v>6.2450000000000001</v>
      </c>
      <c r="AC299" s="2">
        <v>2</v>
      </c>
      <c r="AD299" s="2">
        <v>1</v>
      </c>
      <c r="AE299" s="2">
        <v>0</v>
      </c>
      <c r="AF299" s="2">
        <v>0</v>
      </c>
      <c r="AG299" s="2">
        <v>2</v>
      </c>
    </row>
    <row r="300" spans="1:33" x14ac:dyDescent="0.3">
      <c r="A300" s="2" t="s">
        <v>35</v>
      </c>
      <c r="B300" s="2" t="s">
        <v>845</v>
      </c>
      <c r="C300" s="2" t="s">
        <v>43</v>
      </c>
      <c r="D300" s="2" t="s">
        <v>846</v>
      </c>
      <c r="E300" s="2">
        <v>1999</v>
      </c>
      <c r="F300" s="2">
        <v>39</v>
      </c>
      <c r="G300" s="2">
        <v>0</v>
      </c>
      <c r="H300" s="2">
        <v>31</v>
      </c>
      <c r="I300" s="2">
        <v>29</v>
      </c>
      <c r="J300" s="2">
        <v>31</v>
      </c>
      <c r="K300" s="2">
        <f t="shared" ca="1" si="32"/>
        <v>27</v>
      </c>
      <c r="L300" s="2">
        <v>5</v>
      </c>
      <c r="M300" s="2">
        <v>3</v>
      </c>
      <c r="N300" s="2">
        <v>156</v>
      </c>
      <c r="O300" s="2">
        <f t="shared" ca="1" si="33"/>
        <v>0.18518518518518517</v>
      </c>
      <c r="P300" s="2">
        <f t="shared" ca="1" si="34"/>
        <v>53.038936372269717</v>
      </c>
      <c r="Q300" s="2">
        <v>2.6282000000000001</v>
      </c>
      <c r="R300" s="2">
        <f t="shared" si="35"/>
        <v>59.303076923076929</v>
      </c>
      <c r="S300" s="2">
        <v>5</v>
      </c>
      <c r="T300" s="2">
        <v>11</v>
      </c>
      <c r="U300" s="2">
        <v>24.2</v>
      </c>
      <c r="V300" s="2">
        <f t="shared" si="36"/>
        <v>11</v>
      </c>
      <c r="W300" s="2">
        <v>3</v>
      </c>
      <c r="X300" s="2">
        <f t="shared" si="37"/>
        <v>7.416198487095663</v>
      </c>
      <c r="Y300" s="2">
        <v>27</v>
      </c>
      <c r="Z300" s="2">
        <f t="shared" si="38"/>
        <v>11.61895003862225</v>
      </c>
      <c r="AA300" s="2">
        <f t="shared" si="39"/>
        <v>9.7979589711327115</v>
      </c>
      <c r="AB300" s="2">
        <v>15.7797</v>
      </c>
      <c r="AC300" s="2">
        <v>5</v>
      </c>
      <c r="AD300" s="2">
        <v>0</v>
      </c>
      <c r="AE300" s="2">
        <v>2</v>
      </c>
      <c r="AF300" s="2">
        <v>1</v>
      </c>
      <c r="AG300" s="2">
        <v>4</v>
      </c>
    </row>
    <row r="301" spans="1:33" x14ac:dyDescent="0.3">
      <c r="A301" s="2" t="s">
        <v>35</v>
      </c>
      <c r="B301" s="2" t="s">
        <v>848</v>
      </c>
      <c r="C301" s="2" t="s">
        <v>43</v>
      </c>
      <c r="D301" s="2" t="s">
        <v>849</v>
      </c>
      <c r="E301" s="2">
        <v>2005</v>
      </c>
      <c r="F301" s="2">
        <v>4</v>
      </c>
      <c r="G301" s="2">
        <v>0</v>
      </c>
      <c r="H301" s="2">
        <v>4</v>
      </c>
      <c r="I301" s="2">
        <v>4</v>
      </c>
      <c r="J301" s="2">
        <v>4</v>
      </c>
      <c r="K301" s="2">
        <f t="shared" ca="1" si="32"/>
        <v>21</v>
      </c>
      <c r="L301" s="2">
        <v>1</v>
      </c>
      <c r="M301" s="2">
        <v>0</v>
      </c>
      <c r="N301" s="2">
        <v>6</v>
      </c>
      <c r="O301" s="2">
        <f t="shared" ca="1" si="33"/>
        <v>4.7619047619047616E-2</v>
      </c>
      <c r="P301" s="2">
        <f t="shared" ca="1" si="34"/>
        <v>76.19047619047619</v>
      </c>
      <c r="Q301" s="2">
        <v>0.57740000000000002</v>
      </c>
      <c r="R301" s="2">
        <f t="shared" si="35"/>
        <v>89.435000000000002</v>
      </c>
      <c r="S301" s="2">
        <v>1</v>
      </c>
      <c r="T301" s="2">
        <v>2</v>
      </c>
      <c r="U301" s="2">
        <v>4</v>
      </c>
      <c r="V301" s="2">
        <f t="shared" si="36"/>
        <v>2</v>
      </c>
      <c r="W301" s="2">
        <v>1</v>
      </c>
      <c r="X301" s="2">
        <f t="shared" si="37"/>
        <v>1.4142135623730951</v>
      </c>
      <c r="Y301" s="2">
        <v>4</v>
      </c>
      <c r="Z301" s="2">
        <f t="shared" si="38"/>
        <v>2</v>
      </c>
      <c r="AA301" s="2">
        <f t="shared" si="39"/>
        <v>1.7320508075688772</v>
      </c>
      <c r="AB301" s="2">
        <v>2</v>
      </c>
      <c r="AC301" s="2">
        <v>1</v>
      </c>
      <c r="AD301" s="2">
        <v>0</v>
      </c>
      <c r="AE301" s="2">
        <v>0</v>
      </c>
      <c r="AF301" s="2">
        <v>0</v>
      </c>
      <c r="AG301" s="2">
        <v>1</v>
      </c>
    </row>
    <row r="302" spans="1:33" x14ac:dyDescent="0.3">
      <c r="A302" s="2" t="s">
        <v>35</v>
      </c>
      <c r="B302" s="2" t="s">
        <v>851</v>
      </c>
      <c r="C302" s="2" t="s">
        <v>99</v>
      </c>
      <c r="D302" s="2" t="s">
        <v>852</v>
      </c>
      <c r="E302" s="2">
        <v>2011</v>
      </c>
      <c r="F302" s="2">
        <v>86</v>
      </c>
      <c r="G302" s="2">
        <v>45</v>
      </c>
      <c r="H302" s="2">
        <v>13</v>
      </c>
      <c r="I302" s="2">
        <v>2</v>
      </c>
      <c r="J302" s="2">
        <v>14</v>
      </c>
      <c r="K302" s="2">
        <f t="shared" ca="1" si="32"/>
        <v>15</v>
      </c>
      <c r="L302" s="2">
        <v>18</v>
      </c>
      <c r="M302" s="2">
        <v>27</v>
      </c>
      <c r="N302" s="2">
        <v>854</v>
      </c>
      <c r="O302" s="2">
        <f t="shared" ca="1" si="33"/>
        <v>1.2</v>
      </c>
      <c r="P302" s="2">
        <f t="shared" ca="1" si="34"/>
        <v>25.232558139534884</v>
      </c>
      <c r="Q302" s="2">
        <v>10.5227</v>
      </c>
      <c r="R302" s="2">
        <f t="shared" si="35"/>
        <v>36.072906976744186</v>
      </c>
      <c r="S302" s="2">
        <v>18</v>
      </c>
      <c r="T302" s="2">
        <v>27</v>
      </c>
      <c r="U302" s="2">
        <v>34.722200000000001</v>
      </c>
      <c r="V302" s="2">
        <f t="shared" si="36"/>
        <v>24.99999199999872</v>
      </c>
      <c r="W302" s="2">
        <v>5</v>
      </c>
      <c r="X302" s="2">
        <f t="shared" si="37"/>
        <v>22.045407685048602</v>
      </c>
      <c r="Y302" s="2">
        <v>30.5</v>
      </c>
      <c r="Z302" s="2">
        <f t="shared" si="38"/>
        <v>23.430749027719962</v>
      </c>
      <c r="AA302" s="2">
        <f t="shared" si="39"/>
        <v>17.349340045085288</v>
      </c>
      <c r="AB302" s="2">
        <v>68.293499999999995</v>
      </c>
      <c r="AC302" s="2">
        <v>11</v>
      </c>
      <c r="AD302" s="2">
        <v>8</v>
      </c>
      <c r="AE302" s="2">
        <v>9</v>
      </c>
      <c r="AF302" s="2">
        <v>11</v>
      </c>
      <c r="AG302" s="2">
        <v>1</v>
      </c>
    </row>
    <row r="303" spans="1:33" x14ac:dyDescent="0.3">
      <c r="A303" s="2" t="s">
        <v>35</v>
      </c>
      <c r="B303" s="2" t="s">
        <v>854</v>
      </c>
      <c r="C303" s="2" t="s">
        <v>109</v>
      </c>
      <c r="D303" s="2" t="s">
        <v>855</v>
      </c>
      <c r="E303" s="2">
        <v>2008</v>
      </c>
      <c r="F303" s="2">
        <v>38</v>
      </c>
      <c r="G303" s="2">
        <v>1</v>
      </c>
      <c r="H303" s="2">
        <v>23</v>
      </c>
      <c r="I303" s="2">
        <v>15</v>
      </c>
      <c r="J303" s="2">
        <v>24</v>
      </c>
      <c r="K303" s="2">
        <f t="shared" ca="1" si="32"/>
        <v>18</v>
      </c>
      <c r="L303" s="2">
        <v>8</v>
      </c>
      <c r="M303" s="2">
        <v>8</v>
      </c>
      <c r="N303" s="2">
        <v>198</v>
      </c>
      <c r="O303" s="2">
        <f t="shared" ca="1" si="33"/>
        <v>0.44444444444444442</v>
      </c>
      <c r="P303" s="2">
        <f t="shared" ca="1" si="34"/>
        <v>53.538011695906427</v>
      </c>
      <c r="Q303" s="2">
        <v>3.8285999999999998</v>
      </c>
      <c r="R303" s="2">
        <f t="shared" si="35"/>
        <v>62.443684210526321</v>
      </c>
      <c r="S303" s="2">
        <v>8</v>
      </c>
      <c r="T303" s="2">
        <v>13</v>
      </c>
      <c r="U303" s="2">
        <v>19.75</v>
      </c>
      <c r="V303" s="2">
        <f t="shared" si="36"/>
        <v>12.569805089976535</v>
      </c>
      <c r="W303" s="2">
        <v>4</v>
      </c>
      <c r="X303" s="2">
        <f t="shared" si="37"/>
        <v>10.198039027185569</v>
      </c>
      <c r="Y303" s="2">
        <v>21</v>
      </c>
      <c r="Z303" s="2">
        <f t="shared" si="38"/>
        <v>12.961481396815721</v>
      </c>
      <c r="AA303" s="2">
        <f t="shared" si="39"/>
        <v>9.6953597148326587</v>
      </c>
      <c r="AB303" s="2">
        <v>24.351600000000001</v>
      </c>
      <c r="AC303" s="2">
        <v>6</v>
      </c>
      <c r="AD303" s="2">
        <v>4</v>
      </c>
      <c r="AE303" s="2">
        <v>3</v>
      </c>
      <c r="AF303" s="2">
        <v>2</v>
      </c>
      <c r="AG303" s="2">
        <v>2</v>
      </c>
    </row>
    <row r="304" spans="1:33" x14ac:dyDescent="0.3">
      <c r="A304" s="2" t="s">
        <v>35</v>
      </c>
      <c r="B304" s="2" t="s">
        <v>1134</v>
      </c>
      <c r="C304" s="2" t="s">
        <v>43</v>
      </c>
      <c r="D304" s="2" t="s">
        <v>1135</v>
      </c>
      <c r="E304" s="2">
        <v>2024</v>
      </c>
      <c r="F304" s="2">
        <v>1</v>
      </c>
      <c r="G304" s="2">
        <v>0</v>
      </c>
      <c r="H304" s="2">
        <v>1</v>
      </c>
      <c r="I304" s="2">
        <v>1</v>
      </c>
      <c r="J304" s="2">
        <v>1</v>
      </c>
      <c r="K304" s="2">
        <f t="shared" ca="1" si="32"/>
        <v>2</v>
      </c>
      <c r="L304" s="2">
        <v>0</v>
      </c>
      <c r="M304" s="2">
        <v>0</v>
      </c>
      <c r="N304" s="2">
        <v>0</v>
      </c>
      <c r="O304" s="2">
        <f t="shared" ca="1" si="33"/>
        <v>0</v>
      </c>
      <c r="P304" s="2">
        <f t="shared" ca="1" si="34"/>
        <v>50</v>
      </c>
      <c r="Q304" s="2">
        <v>0</v>
      </c>
      <c r="R304" s="2">
        <f t="shared" si="35"/>
        <v>50</v>
      </c>
      <c r="S304" s="2">
        <v>0</v>
      </c>
      <c r="T304" s="2">
        <v>0</v>
      </c>
      <c r="U304" s="2">
        <v>0</v>
      </c>
      <c r="V304" s="2">
        <f t="shared" si="36"/>
        <v>0</v>
      </c>
      <c r="W304" s="2">
        <v>0</v>
      </c>
      <c r="X304" s="2">
        <f t="shared" si="37"/>
        <v>0</v>
      </c>
      <c r="Y304" s="2">
        <v>0</v>
      </c>
      <c r="Z304" s="2">
        <f t="shared" si="38"/>
        <v>0</v>
      </c>
      <c r="AA304" s="2">
        <f t="shared" si="39"/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 x14ac:dyDescent="0.3">
      <c r="A305" s="2" t="s">
        <v>35</v>
      </c>
      <c r="B305" s="2" t="s">
        <v>857</v>
      </c>
      <c r="C305" s="2" t="s">
        <v>109</v>
      </c>
      <c r="D305" s="2" t="s">
        <v>858</v>
      </c>
      <c r="E305" s="2">
        <v>2007</v>
      </c>
      <c r="F305" s="2">
        <v>32</v>
      </c>
      <c r="G305" s="2">
        <v>0</v>
      </c>
      <c r="H305" s="2">
        <v>4</v>
      </c>
      <c r="I305" s="2">
        <v>4</v>
      </c>
      <c r="J305" s="2">
        <v>5</v>
      </c>
      <c r="K305" s="2">
        <f t="shared" ca="1" si="32"/>
        <v>19</v>
      </c>
      <c r="L305" s="2">
        <v>9</v>
      </c>
      <c r="M305" s="2">
        <v>8</v>
      </c>
      <c r="N305" s="2">
        <v>199</v>
      </c>
      <c r="O305" s="2">
        <f t="shared" ca="1" si="33"/>
        <v>0.47368421052631576</v>
      </c>
      <c r="P305" s="2">
        <f t="shared" ca="1" si="34"/>
        <v>37.417763157894733</v>
      </c>
      <c r="Q305" s="2">
        <v>5.9062999999999999</v>
      </c>
      <c r="R305" s="2">
        <f t="shared" si="35"/>
        <v>54.394687500000003</v>
      </c>
      <c r="S305" s="2">
        <v>9</v>
      </c>
      <c r="T305" s="2">
        <v>13</v>
      </c>
      <c r="U305" s="2">
        <v>17</v>
      </c>
      <c r="V305" s="2">
        <f t="shared" si="36"/>
        <v>12.369316876852981</v>
      </c>
      <c r="W305" s="2">
        <v>4</v>
      </c>
      <c r="X305" s="2">
        <f t="shared" si="37"/>
        <v>10.816653826391969</v>
      </c>
      <c r="Y305" s="2">
        <v>17</v>
      </c>
      <c r="Z305" s="2">
        <f t="shared" si="38"/>
        <v>12.369316876852981</v>
      </c>
      <c r="AA305" s="2">
        <f t="shared" si="39"/>
        <v>8.4852813742385695</v>
      </c>
      <c r="AB305" s="2">
        <v>26.057600000000001</v>
      </c>
      <c r="AC305" s="2">
        <v>5</v>
      </c>
      <c r="AD305" s="2">
        <v>1</v>
      </c>
      <c r="AE305" s="2">
        <v>4</v>
      </c>
      <c r="AF305" s="2">
        <v>6</v>
      </c>
      <c r="AG305" s="2">
        <v>2</v>
      </c>
    </row>
    <row r="306" spans="1:33" x14ac:dyDescent="0.3">
      <c r="A306" s="2" t="s">
        <v>35</v>
      </c>
      <c r="B306" s="2" t="s">
        <v>860</v>
      </c>
      <c r="C306" s="2" t="s">
        <v>43</v>
      </c>
      <c r="D306" s="2" t="s">
        <v>861</v>
      </c>
      <c r="E306" s="2">
        <v>1966</v>
      </c>
      <c r="F306" s="2">
        <v>33</v>
      </c>
      <c r="G306" s="2">
        <v>3</v>
      </c>
      <c r="H306" s="2">
        <v>24</v>
      </c>
      <c r="I306" s="2">
        <v>10</v>
      </c>
      <c r="J306" s="2">
        <v>25</v>
      </c>
      <c r="K306" s="2">
        <f t="shared" ca="1" si="32"/>
        <v>60</v>
      </c>
      <c r="L306" s="2">
        <v>3</v>
      </c>
      <c r="M306" s="2">
        <v>1</v>
      </c>
      <c r="N306" s="2">
        <v>114</v>
      </c>
      <c r="O306" s="2">
        <f t="shared" ca="1" si="33"/>
        <v>0.05</v>
      </c>
      <c r="P306" s="2">
        <f t="shared" ca="1" si="34"/>
        <v>46.212121212121211</v>
      </c>
      <c r="Q306" s="2">
        <v>2.3355000000000001</v>
      </c>
      <c r="R306" s="2">
        <f t="shared" si="35"/>
        <v>53.137878787878783</v>
      </c>
      <c r="S306" s="2">
        <v>3</v>
      </c>
      <c r="T306" s="2">
        <v>10</v>
      </c>
      <c r="U306" s="2">
        <v>35.333300000000001</v>
      </c>
      <c r="V306" s="2">
        <f t="shared" si="36"/>
        <v>10.295625284556543</v>
      </c>
      <c r="W306" s="2">
        <v>2</v>
      </c>
      <c r="X306" s="2">
        <f t="shared" si="37"/>
        <v>5.4772255750516612</v>
      </c>
      <c r="Y306" s="2">
        <v>4</v>
      </c>
      <c r="Z306" s="2">
        <f t="shared" si="38"/>
        <v>3.4641016151377544</v>
      </c>
      <c r="AA306" s="2">
        <f t="shared" si="39"/>
        <v>9.8488527250639706</v>
      </c>
      <c r="AB306" s="2">
        <v>10.770300000000001</v>
      </c>
      <c r="AC306" s="2">
        <v>2</v>
      </c>
      <c r="AD306" s="2">
        <v>2</v>
      </c>
      <c r="AE306" s="2">
        <v>2</v>
      </c>
      <c r="AF306" s="2">
        <v>1</v>
      </c>
      <c r="AG306" s="2">
        <v>1</v>
      </c>
    </row>
    <row r="307" spans="1:33" x14ac:dyDescent="0.3">
      <c r="A307" s="2" t="s">
        <v>35</v>
      </c>
      <c r="B307" s="2" t="s">
        <v>1136</v>
      </c>
      <c r="C307" s="2" t="s">
        <v>74</v>
      </c>
      <c r="D307" s="2" t="s">
        <v>1137</v>
      </c>
      <c r="E307" s="2">
        <v>2025</v>
      </c>
      <c r="F307" s="2">
        <v>1</v>
      </c>
      <c r="G307" s="2">
        <v>0</v>
      </c>
      <c r="H307" s="2">
        <v>1</v>
      </c>
      <c r="I307" s="2">
        <v>1</v>
      </c>
      <c r="J307" s="2">
        <v>1</v>
      </c>
      <c r="K307" s="2">
        <f t="shared" ca="1" si="32"/>
        <v>1</v>
      </c>
      <c r="L307" s="2">
        <v>0</v>
      </c>
      <c r="M307" s="2">
        <v>0</v>
      </c>
      <c r="N307" s="2">
        <v>0</v>
      </c>
      <c r="O307" s="2">
        <f t="shared" ca="1" si="33"/>
        <v>0</v>
      </c>
      <c r="P307" s="2">
        <f t="shared" ca="1" si="34"/>
        <v>50</v>
      </c>
      <c r="Q307" s="2">
        <v>0</v>
      </c>
      <c r="R307" s="2">
        <f t="shared" si="35"/>
        <v>50</v>
      </c>
      <c r="S307" s="2">
        <v>0</v>
      </c>
      <c r="T307" s="2">
        <v>0</v>
      </c>
      <c r="U307" s="2">
        <v>0</v>
      </c>
      <c r="V307" s="2">
        <f t="shared" si="36"/>
        <v>0</v>
      </c>
      <c r="W307" s="2">
        <v>0</v>
      </c>
      <c r="X307" s="2">
        <f t="shared" si="37"/>
        <v>0</v>
      </c>
      <c r="Y307" s="2">
        <v>0</v>
      </c>
      <c r="Z307" s="2">
        <f t="shared" si="38"/>
        <v>0</v>
      </c>
      <c r="AA307" s="2">
        <f t="shared" si="39"/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</row>
    <row r="308" spans="1:33" x14ac:dyDescent="0.3">
      <c r="A308" s="2" t="s">
        <v>35</v>
      </c>
      <c r="B308" s="2" t="s">
        <v>863</v>
      </c>
      <c r="C308" s="2" t="s">
        <v>51</v>
      </c>
      <c r="D308" s="2" t="s">
        <v>864</v>
      </c>
      <c r="E308" s="2">
        <v>2014</v>
      </c>
      <c r="F308" s="2">
        <v>20</v>
      </c>
      <c r="G308" s="2">
        <v>11</v>
      </c>
      <c r="H308" s="2">
        <v>8</v>
      </c>
      <c r="I308" s="2">
        <v>1</v>
      </c>
      <c r="J308" s="2">
        <v>9</v>
      </c>
      <c r="K308" s="2">
        <f t="shared" ca="1" si="32"/>
        <v>12</v>
      </c>
      <c r="L308" s="2">
        <v>6</v>
      </c>
      <c r="M308" s="2">
        <v>3</v>
      </c>
      <c r="N308" s="2">
        <v>85</v>
      </c>
      <c r="O308" s="2">
        <f t="shared" ca="1" si="33"/>
        <v>0.5</v>
      </c>
      <c r="P308" s="2">
        <f t="shared" ca="1" si="34"/>
        <v>49.5</v>
      </c>
      <c r="Q308" s="2">
        <v>3.5423</v>
      </c>
      <c r="R308" s="2">
        <f t="shared" si="35"/>
        <v>64.711500000000001</v>
      </c>
      <c r="S308" s="2">
        <v>6</v>
      </c>
      <c r="T308" s="2">
        <v>8</v>
      </c>
      <c r="U308" s="2">
        <v>10.5</v>
      </c>
      <c r="V308" s="2">
        <f t="shared" si="36"/>
        <v>7.9372539331937721</v>
      </c>
      <c r="W308" s="2">
        <v>3</v>
      </c>
      <c r="X308" s="2">
        <f t="shared" si="37"/>
        <v>6.9282032302755088</v>
      </c>
      <c r="Y308" s="2">
        <v>10</v>
      </c>
      <c r="Z308" s="2">
        <f t="shared" si="38"/>
        <v>7.745966692414834</v>
      </c>
      <c r="AA308" s="2">
        <f t="shared" si="39"/>
        <v>5.196152422706632</v>
      </c>
      <c r="AB308" s="2">
        <v>13.3041</v>
      </c>
      <c r="AC308" s="2">
        <v>4</v>
      </c>
      <c r="AD308" s="2">
        <v>5</v>
      </c>
      <c r="AE308" s="2">
        <v>3</v>
      </c>
      <c r="AF308" s="2">
        <v>2</v>
      </c>
      <c r="AG308" s="2">
        <v>1</v>
      </c>
    </row>
    <row r="309" spans="1:33" x14ac:dyDescent="0.3">
      <c r="A309" s="2" t="s">
        <v>35</v>
      </c>
      <c r="B309" s="2" t="s">
        <v>866</v>
      </c>
      <c r="C309" s="2" t="s">
        <v>38</v>
      </c>
      <c r="D309" s="2" t="s">
        <v>867</v>
      </c>
      <c r="E309" s="2">
        <v>2003</v>
      </c>
      <c r="F309" s="2">
        <v>71</v>
      </c>
      <c r="G309" s="2">
        <v>43</v>
      </c>
      <c r="H309" s="2">
        <v>10</v>
      </c>
      <c r="I309" s="2">
        <v>29</v>
      </c>
      <c r="J309" s="2">
        <v>35</v>
      </c>
      <c r="K309" s="2">
        <f t="shared" ca="1" si="32"/>
        <v>23</v>
      </c>
      <c r="L309" s="2">
        <v>26</v>
      </c>
      <c r="M309" s="2">
        <v>38</v>
      </c>
      <c r="N309" s="2">
        <v>2881</v>
      </c>
      <c r="O309" s="2">
        <f t="shared" ca="1" si="33"/>
        <v>1.1304347826086956</v>
      </c>
      <c r="P309" s="2">
        <f t="shared" ca="1" si="34"/>
        <v>56.803429271279853</v>
      </c>
      <c r="Q309" s="2">
        <v>15.0219</v>
      </c>
      <c r="R309" s="2">
        <f t="shared" si="35"/>
        <v>76.368873239436624</v>
      </c>
      <c r="S309" s="2">
        <v>26</v>
      </c>
      <c r="T309" s="2">
        <v>53</v>
      </c>
      <c r="U309" s="2">
        <v>100.0385</v>
      </c>
      <c r="V309" s="2">
        <f t="shared" si="36"/>
        <v>51.000009803920626</v>
      </c>
      <c r="W309" s="2">
        <v>9</v>
      </c>
      <c r="X309" s="2">
        <f t="shared" si="37"/>
        <v>37.12142238654117</v>
      </c>
      <c r="Y309" s="2">
        <v>70.5</v>
      </c>
      <c r="Z309" s="2">
        <f t="shared" si="38"/>
        <v>42.813549257215293</v>
      </c>
      <c r="AA309" s="2">
        <f t="shared" si="39"/>
        <v>43.874833333016781</v>
      </c>
      <c r="AB309" s="2">
        <v>144.79990000000001</v>
      </c>
      <c r="AC309" s="2">
        <v>17</v>
      </c>
      <c r="AD309" s="2">
        <v>2</v>
      </c>
      <c r="AE309" s="2">
        <v>4</v>
      </c>
      <c r="AF309" s="2">
        <v>17</v>
      </c>
      <c r="AG309" s="2">
        <v>13</v>
      </c>
    </row>
    <row r="310" spans="1:33" x14ac:dyDescent="0.3">
      <c r="A310" s="2" t="s">
        <v>35</v>
      </c>
      <c r="B310" s="2" t="s">
        <v>869</v>
      </c>
      <c r="C310" s="2" t="s">
        <v>109</v>
      </c>
      <c r="D310" s="2" t="s">
        <v>870</v>
      </c>
      <c r="E310" s="2">
        <v>1991</v>
      </c>
      <c r="F310" s="2">
        <v>109</v>
      </c>
      <c r="G310" s="2">
        <v>33</v>
      </c>
      <c r="H310" s="2">
        <v>22</v>
      </c>
      <c r="I310" s="2">
        <v>16</v>
      </c>
      <c r="J310" s="2">
        <v>36</v>
      </c>
      <c r="K310" s="2">
        <f t="shared" ca="1" si="32"/>
        <v>35</v>
      </c>
      <c r="L310" s="2">
        <v>22</v>
      </c>
      <c r="M310" s="2">
        <v>37</v>
      </c>
      <c r="N310" s="2">
        <v>1693</v>
      </c>
      <c r="O310" s="2">
        <f t="shared" ca="1" si="33"/>
        <v>0.62857142857142856</v>
      </c>
      <c r="P310" s="2">
        <f t="shared" ca="1" si="34"/>
        <v>34.246395806028836</v>
      </c>
      <c r="Q310" s="2">
        <v>13.5184</v>
      </c>
      <c r="R310" s="2">
        <f t="shared" si="35"/>
        <v>46.071926605504594</v>
      </c>
      <c r="S310" s="2">
        <v>22</v>
      </c>
      <c r="T310" s="2">
        <v>38</v>
      </c>
      <c r="U310" s="2">
        <v>58.545499999999997</v>
      </c>
      <c r="V310" s="2">
        <f t="shared" si="36"/>
        <v>35.888730821805332</v>
      </c>
      <c r="W310" s="2">
        <v>6</v>
      </c>
      <c r="X310" s="2">
        <f t="shared" si="37"/>
        <v>28.913664589601922</v>
      </c>
      <c r="Y310" s="2">
        <v>32</v>
      </c>
      <c r="Z310" s="2">
        <f t="shared" si="38"/>
        <v>26.532998322843198</v>
      </c>
      <c r="AA310" s="2">
        <f t="shared" si="39"/>
        <v>28.354911391150562</v>
      </c>
      <c r="AB310" s="2">
        <v>93.712299999999999</v>
      </c>
      <c r="AC310" s="2">
        <v>15</v>
      </c>
      <c r="AD310" s="2">
        <v>12</v>
      </c>
      <c r="AE310" s="2">
        <v>7</v>
      </c>
      <c r="AF310" s="2">
        <v>13</v>
      </c>
      <c r="AG310" s="2">
        <v>7</v>
      </c>
    </row>
    <row r="311" spans="1:33" x14ac:dyDescent="0.3">
      <c r="A311" s="2" t="s">
        <v>35</v>
      </c>
      <c r="B311" s="2" t="s">
        <v>872</v>
      </c>
      <c r="C311" s="2" t="s">
        <v>43</v>
      </c>
      <c r="D311" s="2" t="s">
        <v>873</v>
      </c>
      <c r="E311" s="2">
        <v>2017</v>
      </c>
      <c r="F311" s="2">
        <v>2</v>
      </c>
      <c r="G311" s="2">
        <v>0</v>
      </c>
      <c r="H311" s="2">
        <v>1</v>
      </c>
      <c r="I311" s="2">
        <v>1</v>
      </c>
      <c r="J311" s="2">
        <v>1</v>
      </c>
      <c r="K311" s="2">
        <f t="shared" ca="1" si="32"/>
        <v>9</v>
      </c>
      <c r="L311" s="2">
        <v>1</v>
      </c>
      <c r="M311" s="2">
        <v>0</v>
      </c>
      <c r="N311" s="2">
        <v>4</v>
      </c>
      <c r="O311" s="2">
        <f t="shared" ca="1" si="33"/>
        <v>0.1111111111111111</v>
      </c>
      <c r="P311" s="2">
        <f t="shared" ca="1" si="34"/>
        <v>80.555555555555557</v>
      </c>
      <c r="Q311" s="2">
        <v>0.8165</v>
      </c>
      <c r="R311" s="2">
        <f t="shared" si="35"/>
        <v>115.825</v>
      </c>
      <c r="S311" s="2">
        <v>1</v>
      </c>
      <c r="T311" s="2">
        <v>2</v>
      </c>
      <c r="U311" s="2">
        <v>4</v>
      </c>
      <c r="V311" s="2">
        <f t="shared" si="36"/>
        <v>2</v>
      </c>
      <c r="W311" s="2">
        <v>1</v>
      </c>
      <c r="X311" s="2">
        <f t="shared" si="37"/>
        <v>1.4142135623730951</v>
      </c>
      <c r="Y311" s="2">
        <v>4</v>
      </c>
      <c r="Z311" s="2">
        <f t="shared" si="38"/>
        <v>2</v>
      </c>
      <c r="AA311" s="2">
        <f t="shared" si="39"/>
        <v>1.7320508075688772</v>
      </c>
      <c r="AB311" s="2">
        <v>2</v>
      </c>
      <c r="AC311" s="2">
        <v>1</v>
      </c>
      <c r="AD311" s="2">
        <v>0</v>
      </c>
      <c r="AE311" s="2">
        <v>0</v>
      </c>
      <c r="AF311" s="2">
        <v>1</v>
      </c>
      <c r="AG311" s="2">
        <v>0</v>
      </c>
    </row>
    <row r="312" spans="1:33" x14ac:dyDescent="0.3">
      <c r="A312" s="2" t="s">
        <v>35</v>
      </c>
      <c r="B312" s="2" t="s">
        <v>875</v>
      </c>
      <c r="C312" s="2" t="s">
        <v>109</v>
      </c>
      <c r="D312" s="2" t="s">
        <v>876</v>
      </c>
      <c r="E312" s="2">
        <v>2018</v>
      </c>
      <c r="F312" s="2">
        <v>12</v>
      </c>
      <c r="G312" s="2">
        <v>2</v>
      </c>
      <c r="H312" s="2">
        <v>3</v>
      </c>
      <c r="I312" s="2">
        <v>2</v>
      </c>
      <c r="J312" s="2">
        <v>3</v>
      </c>
      <c r="K312" s="2">
        <f t="shared" ca="1" si="32"/>
        <v>8</v>
      </c>
      <c r="L312" s="2">
        <v>2</v>
      </c>
      <c r="M312" s="2">
        <v>0</v>
      </c>
      <c r="N312" s="2">
        <v>13</v>
      </c>
      <c r="O312" s="2">
        <f t="shared" ca="1" si="33"/>
        <v>0.25</v>
      </c>
      <c r="P312" s="2">
        <f t="shared" ca="1" si="34"/>
        <v>29.583333333333336</v>
      </c>
      <c r="Q312" s="2">
        <v>1.6073</v>
      </c>
      <c r="R312" s="2">
        <f t="shared" si="35"/>
        <v>40.894166666666663</v>
      </c>
      <c r="S312" s="2">
        <v>2</v>
      </c>
      <c r="T312" s="2">
        <v>3</v>
      </c>
      <c r="U312" s="2">
        <v>4.5</v>
      </c>
      <c r="V312" s="2">
        <f t="shared" si="36"/>
        <v>3</v>
      </c>
      <c r="W312" s="2">
        <v>2</v>
      </c>
      <c r="X312" s="2">
        <f t="shared" si="37"/>
        <v>2.4494897427831779</v>
      </c>
      <c r="Y312" s="2">
        <v>4.5</v>
      </c>
      <c r="Z312" s="2">
        <f t="shared" si="38"/>
        <v>3</v>
      </c>
      <c r="AA312" s="2">
        <f t="shared" si="39"/>
        <v>2.2360679774997898</v>
      </c>
      <c r="AB312" s="2">
        <v>3.6055999999999999</v>
      </c>
      <c r="AC312" s="2">
        <v>2</v>
      </c>
      <c r="AD312" s="2">
        <v>1</v>
      </c>
      <c r="AE312" s="2">
        <v>0</v>
      </c>
      <c r="AF312" s="2">
        <v>1</v>
      </c>
      <c r="AG312" s="2">
        <v>1</v>
      </c>
    </row>
    <row r="313" spans="1:33" x14ac:dyDescent="0.3">
      <c r="A313" s="2" t="s">
        <v>35</v>
      </c>
      <c r="B313" s="2" t="s">
        <v>878</v>
      </c>
      <c r="C313" s="2" t="s">
        <v>240</v>
      </c>
      <c r="D313" s="2" t="s">
        <v>879</v>
      </c>
      <c r="E313" s="2">
        <v>2010</v>
      </c>
      <c r="F313" s="2">
        <v>70</v>
      </c>
      <c r="G313" s="2">
        <v>20</v>
      </c>
      <c r="H313" s="2">
        <v>27</v>
      </c>
      <c r="I313" s="2">
        <v>19</v>
      </c>
      <c r="J313" s="2">
        <v>28</v>
      </c>
      <c r="K313" s="2">
        <f t="shared" ca="1" si="32"/>
        <v>16</v>
      </c>
      <c r="L313" s="2">
        <v>13</v>
      </c>
      <c r="M313" s="2">
        <v>14</v>
      </c>
      <c r="N313" s="2">
        <v>560</v>
      </c>
      <c r="O313" s="2">
        <f t="shared" ca="1" si="33"/>
        <v>0.8125</v>
      </c>
      <c r="P313" s="2">
        <f t="shared" ca="1" si="34"/>
        <v>36.875</v>
      </c>
      <c r="Q313" s="2">
        <v>8.6866000000000003</v>
      </c>
      <c r="R313" s="2">
        <f t="shared" si="35"/>
        <v>48.123714285714286</v>
      </c>
      <c r="S313" s="2">
        <v>13</v>
      </c>
      <c r="T313" s="2">
        <v>23</v>
      </c>
      <c r="U313" s="2">
        <v>37</v>
      </c>
      <c r="V313" s="2">
        <f t="shared" si="36"/>
        <v>21.931712199461309</v>
      </c>
      <c r="W313" s="2">
        <v>5</v>
      </c>
      <c r="X313" s="2">
        <f t="shared" si="37"/>
        <v>17.291616465790582</v>
      </c>
      <c r="Y313" s="2">
        <v>26</v>
      </c>
      <c r="Z313" s="2">
        <f t="shared" si="38"/>
        <v>18.384776310850235</v>
      </c>
      <c r="AA313" s="2">
        <f t="shared" si="39"/>
        <v>17.663521732655695</v>
      </c>
      <c r="AB313" s="2">
        <v>46.989400000000003</v>
      </c>
      <c r="AC313" s="2">
        <v>8</v>
      </c>
      <c r="AD313" s="2">
        <v>4</v>
      </c>
      <c r="AE313" s="2">
        <v>6</v>
      </c>
      <c r="AF313" s="2">
        <v>5</v>
      </c>
      <c r="AG313" s="2">
        <v>4</v>
      </c>
    </row>
    <row r="314" spans="1:33" x14ac:dyDescent="0.3">
      <c r="A314" s="2" t="s">
        <v>35</v>
      </c>
      <c r="B314" s="2" t="s">
        <v>881</v>
      </c>
      <c r="C314" s="2" t="s">
        <v>62</v>
      </c>
      <c r="D314" s="2" t="s">
        <v>882</v>
      </c>
      <c r="E314" s="2">
        <v>2000</v>
      </c>
      <c r="F314" s="2">
        <v>77</v>
      </c>
      <c r="G314" s="2">
        <v>38</v>
      </c>
      <c r="H314" s="2">
        <v>12</v>
      </c>
      <c r="I314" s="2">
        <v>27</v>
      </c>
      <c r="J314" s="2">
        <v>38</v>
      </c>
      <c r="K314" s="2">
        <f t="shared" ca="1" si="32"/>
        <v>26</v>
      </c>
      <c r="L314" s="2">
        <v>28</v>
      </c>
      <c r="M314" s="2">
        <v>48</v>
      </c>
      <c r="N314" s="2">
        <v>2137</v>
      </c>
      <c r="O314" s="2">
        <f t="shared" ca="1" si="33"/>
        <v>1.0769230769230769</v>
      </c>
      <c r="P314" s="2">
        <f t="shared" ca="1" si="34"/>
        <v>57.502497502497512</v>
      </c>
      <c r="Q314" s="2">
        <v>9.8108000000000004</v>
      </c>
      <c r="R314" s="2">
        <f t="shared" si="35"/>
        <v>68.845194805194808</v>
      </c>
      <c r="S314" s="2">
        <v>28</v>
      </c>
      <c r="T314" s="2">
        <v>45</v>
      </c>
      <c r="U314" s="2">
        <v>60.964300000000001</v>
      </c>
      <c r="V314" s="2">
        <f t="shared" si="36"/>
        <v>41.315861360983391</v>
      </c>
      <c r="W314" s="2">
        <v>8</v>
      </c>
      <c r="X314" s="2">
        <f t="shared" si="37"/>
        <v>35.496478698597699</v>
      </c>
      <c r="Y314" s="2">
        <v>51.5</v>
      </c>
      <c r="Z314" s="2">
        <f t="shared" si="38"/>
        <v>37.97367509209505</v>
      </c>
      <c r="AA314" s="2">
        <f t="shared" si="39"/>
        <v>30.380921645006101</v>
      </c>
      <c r="AB314" s="2">
        <v>137.02189999999999</v>
      </c>
      <c r="AC314" s="2">
        <v>22</v>
      </c>
      <c r="AD314" s="2">
        <v>9</v>
      </c>
      <c r="AE314" s="2">
        <v>5</v>
      </c>
      <c r="AF314" s="2">
        <v>14</v>
      </c>
      <c r="AG314" s="2">
        <v>14</v>
      </c>
    </row>
    <row r="315" spans="1:33" x14ac:dyDescent="0.3">
      <c r="A315" s="2" t="s">
        <v>35</v>
      </c>
      <c r="B315" s="2" t="s">
        <v>884</v>
      </c>
      <c r="C315" s="2" t="s">
        <v>150</v>
      </c>
      <c r="D315" s="2" t="s">
        <v>885</v>
      </c>
      <c r="E315" s="2">
        <v>2007</v>
      </c>
      <c r="F315" s="2">
        <v>58</v>
      </c>
      <c r="G315" s="2">
        <v>27</v>
      </c>
      <c r="H315" s="2">
        <v>9</v>
      </c>
      <c r="I315" s="2">
        <v>13</v>
      </c>
      <c r="J315" s="2">
        <v>19</v>
      </c>
      <c r="K315" s="2">
        <f t="shared" ca="1" si="32"/>
        <v>19</v>
      </c>
      <c r="L315" s="2">
        <v>19</v>
      </c>
      <c r="M315" s="2">
        <v>29</v>
      </c>
      <c r="N315" s="2">
        <v>854</v>
      </c>
      <c r="O315" s="2">
        <f t="shared" ca="1" si="33"/>
        <v>1</v>
      </c>
      <c r="P315" s="2">
        <f t="shared" ca="1" si="34"/>
        <v>46.206896551724135</v>
      </c>
      <c r="Q315" s="2">
        <v>9.4171999999999993</v>
      </c>
      <c r="R315" s="2">
        <f t="shared" si="35"/>
        <v>60.719310344827576</v>
      </c>
      <c r="S315" s="2">
        <v>19</v>
      </c>
      <c r="T315" s="2">
        <v>28</v>
      </c>
      <c r="U315" s="2">
        <v>35.157899999999998</v>
      </c>
      <c r="V315" s="2">
        <f t="shared" si="36"/>
        <v>25.845697901198179</v>
      </c>
      <c r="W315" s="2">
        <v>6</v>
      </c>
      <c r="X315" s="2">
        <f t="shared" si="37"/>
        <v>23.065125189341593</v>
      </c>
      <c r="Y315" s="2">
        <v>31</v>
      </c>
      <c r="Z315" s="2">
        <f t="shared" si="38"/>
        <v>24.269322199023193</v>
      </c>
      <c r="AA315" s="2">
        <f t="shared" si="39"/>
        <v>17.521418321585728</v>
      </c>
      <c r="AB315" s="2">
        <v>72.456900000000005</v>
      </c>
      <c r="AC315" s="2">
        <v>9</v>
      </c>
      <c r="AD315" s="2">
        <v>2</v>
      </c>
      <c r="AE315" s="2">
        <v>0</v>
      </c>
      <c r="AF315" s="2">
        <v>16</v>
      </c>
      <c r="AG315" s="2">
        <v>7</v>
      </c>
    </row>
    <row r="316" spans="1:33" x14ac:dyDescent="0.3">
      <c r="A316" s="2" t="s">
        <v>35</v>
      </c>
      <c r="B316" s="2" t="s">
        <v>887</v>
      </c>
      <c r="C316" s="2" t="s">
        <v>91</v>
      </c>
      <c r="D316" s="2" t="s">
        <v>888</v>
      </c>
      <c r="E316" s="2">
        <v>2019</v>
      </c>
      <c r="F316" s="2">
        <v>19</v>
      </c>
      <c r="G316" s="2">
        <v>7</v>
      </c>
      <c r="H316" s="2">
        <v>9</v>
      </c>
      <c r="I316" s="2">
        <v>0</v>
      </c>
      <c r="J316" s="2">
        <v>9</v>
      </c>
      <c r="K316" s="2">
        <f t="shared" ca="1" si="32"/>
        <v>7</v>
      </c>
      <c r="L316" s="2">
        <v>11</v>
      </c>
      <c r="M316" s="2">
        <v>11</v>
      </c>
      <c r="N316" s="2">
        <v>468</v>
      </c>
      <c r="O316" s="2">
        <f t="shared" ca="1" si="33"/>
        <v>1.5714285714285714</v>
      </c>
      <c r="P316" s="2">
        <f t="shared" ca="1" si="34"/>
        <v>86.165413533834609</v>
      </c>
      <c r="Q316" s="2">
        <v>9.9631000000000007</v>
      </c>
      <c r="R316" s="2">
        <f t="shared" si="35"/>
        <v>130.3321052631579</v>
      </c>
      <c r="S316" s="2">
        <v>11</v>
      </c>
      <c r="T316" s="2">
        <v>19</v>
      </c>
      <c r="U316" s="2">
        <v>42.090899999999998</v>
      </c>
      <c r="V316" s="2">
        <f t="shared" si="36"/>
        <v>21.517432467652824</v>
      </c>
      <c r="W316" s="2">
        <v>5</v>
      </c>
      <c r="X316" s="2">
        <f t="shared" si="37"/>
        <v>14.456832294800961</v>
      </c>
      <c r="Y316" s="2">
        <v>35</v>
      </c>
      <c r="Z316" s="2">
        <f t="shared" si="38"/>
        <v>19.621416870348583</v>
      </c>
      <c r="AA316" s="2">
        <f t="shared" si="39"/>
        <v>18.493239305216377</v>
      </c>
      <c r="AB316" s="2">
        <v>43.127699999999997</v>
      </c>
      <c r="AC316" s="2">
        <v>8</v>
      </c>
      <c r="AD316" s="2">
        <v>6</v>
      </c>
      <c r="AE316" s="2">
        <v>2</v>
      </c>
      <c r="AF316" s="2">
        <v>4</v>
      </c>
      <c r="AG316" s="2">
        <v>0</v>
      </c>
    </row>
    <row r="317" spans="1:33" x14ac:dyDescent="0.3">
      <c r="A317" s="2" t="s">
        <v>35</v>
      </c>
      <c r="B317" s="2" t="s">
        <v>890</v>
      </c>
      <c r="C317" s="2" t="s">
        <v>43</v>
      </c>
      <c r="D317" s="2" t="s">
        <v>891</v>
      </c>
      <c r="E317" s="2">
        <v>2009</v>
      </c>
      <c r="F317" s="2">
        <v>14</v>
      </c>
      <c r="G317" s="2">
        <v>0</v>
      </c>
      <c r="H317" s="2">
        <v>13</v>
      </c>
      <c r="I317" s="2">
        <v>13</v>
      </c>
      <c r="J317" s="2">
        <v>13</v>
      </c>
      <c r="K317" s="2">
        <f t="shared" ca="1" si="32"/>
        <v>17</v>
      </c>
      <c r="L317" s="2">
        <v>1</v>
      </c>
      <c r="M317" s="2">
        <v>0</v>
      </c>
      <c r="N317" s="2">
        <v>3</v>
      </c>
      <c r="O317" s="2">
        <f t="shared" ca="1" si="33"/>
        <v>5.8823529411764705E-2</v>
      </c>
      <c r="P317" s="2">
        <f t="shared" ca="1" si="34"/>
        <v>53.991596638655466</v>
      </c>
      <c r="Q317" s="2">
        <v>0.5</v>
      </c>
      <c r="R317" s="2">
        <f t="shared" si="35"/>
        <v>57.142857142857146</v>
      </c>
      <c r="S317" s="2">
        <v>1</v>
      </c>
      <c r="T317" s="2">
        <v>1</v>
      </c>
      <c r="U317" s="2">
        <v>2</v>
      </c>
      <c r="V317" s="2">
        <f t="shared" si="36"/>
        <v>1.4142135623730951</v>
      </c>
      <c r="W317" s="2">
        <v>1</v>
      </c>
      <c r="X317" s="2">
        <f t="shared" si="37"/>
        <v>1</v>
      </c>
      <c r="Y317" s="2">
        <v>2</v>
      </c>
      <c r="Z317" s="2">
        <f t="shared" si="38"/>
        <v>1.4142135623730951</v>
      </c>
      <c r="AA317" s="2">
        <f t="shared" si="39"/>
        <v>1</v>
      </c>
      <c r="AB317" s="2">
        <v>1.4141999999999999</v>
      </c>
      <c r="AC317" s="2">
        <v>1</v>
      </c>
      <c r="AD317" s="2">
        <v>0</v>
      </c>
      <c r="AE317" s="2">
        <v>0</v>
      </c>
      <c r="AF317" s="2">
        <v>0</v>
      </c>
      <c r="AG317" s="2">
        <v>1</v>
      </c>
    </row>
    <row r="318" spans="1:33" x14ac:dyDescent="0.3">
      <c r="A318" s="2" t="s">
        <v>35</v>
      </c>
      <c r="B318" s="2" t="s">
        <v>893</v>
      </c>
      <c r="C318" s="2" t="s">
        <v>43</v>
      </c>
      <c r="D318" s="2" t="s">
        <v>894</v>
      </c>
      <c r="E318" s="2">
        <v>1994</v>
      </c>
      <c r="F318" s="2">
        <v>68</v>
      </c>
      <c r="G318" s="2">
        <v>2</v>
      </c>
      <c r="H318" s="2">
        <v>61</v>
      </c>
      <c r="I318" s="2">
        <v>58</v>
      </c>
      <c r="J318" s="2">
        <v>62</v>
      </c>
      <c r="K318" s="2">
        <f t="shared" ca="1" si="32"/>
        <v>32</v>
      </c>
      <c r="L318" s="2">
        <v>6</v>
      </c>
      <c r="M318" s="2">
        <v>1</v>
      </c>
      <c r="N318" s="2">
        <v>89</v>
      </c>
      <c r="O318" s="2">
        <f t="shared" ca="1" si="33"/>
        <v>0.1875</v>
      </c>
      <c r="P318" s="2">
        <f t="shared" ca="1" si="34"/>
        <v>54.393382352941174</v>
      </c>
      <c r="Q318" s="2">
        <v>2.3037999999999998</v>
      </c>
      <c r="R318" s="2">
        <f t="shared" si="35"/>
        <v>57.50558823529412</v>
      </c>
      <c r="S318" s="2">
        <v>6</v>
      </c>
      <c r="T318" s="2">
        <v>7</v>
      </c>
      <c r="U318" s="2">
        <v>8.3332999999999995</v>
      </c>
      <c r="V318" s="2">
        <f t="shared" si="36"/>
        <v>7.0710536697157087</v>
      </c>
      <c r="W318" s="2">
        <v>2</v>
      </c>
      <c r="X318" s="2">
        <f t="shared" si="37"/>
        <v>6.4807406984078604</v>
      </c>
      <c r="Y318" s="2">
        <v>7.5</v>
      </c>
      <c r="Z318" s="2">
        <f t="shared" si="38"/>
        <v>6.7082039324993694</v>
      </c>
      <c r="AA318" s="2">
        <f t="shared" si="39"/>
        <v>3.7416306605542982</v>
      </c>
      <c r="AB318" s="2">
        <v>12.2066</v>
      </c>
      <c r="AC318" s="2">
        <v>5</v>
      </c>
      <c r="AD318" s="2">
        <v>2</v>
      </c>
      <c r="AE318" s="2">
        <v>1</v>
      </c>
      <c r="AF318" s="2">
        <v>1</v>
      </c>
      <c r="AG318" s="2">
        <v>4</v>
      </c>
    </row>
    <row r="319" spans="1:33" x14ac:dyDescent="0.3">
      <c r="A319" s="2" t="s">
        <v>35</v>
      </c>
      <c r="B319" s="2" t="s">
        <v>1138</v>
      </c>
      <c r="C319" s="2" t="s">
        <v>128</v>
      </c>
      <c r="D319" s="2" t="s">
        <v>1139</v>
      </c>
      <c r="E319" s="2">
        <v>2025</v>
      </c>
      <c r="F319" s="2">
        <v>2</v>
      </c>
      <c r="G319" s="2">
        <v>0</v>
      </c>
      <c r="H319" s="2">
        <v>0</v>
      </c>
      <c r="I319" s="2">
        <v>0</v>
      </c>
      <c r="J319" s="2">
        <v>0</v>
      </c>
      <c r="K319" s="2">
        <f t="shared" ca="1" si="32"/>
        <v>1</v>
      </c>
      <c r="L319" s="2">
        <v>0</v>
      </c>
      <c r="M319" s="2">
        <v>0</v>
      </c>
      <c r="N319" s="2">
        <v>0</v>
      </c>
      <c r="O319" s="2">
        <f t="shared" ca="1" si="33"/>
        <v>0</v>
      </c>
      <c r="P319" s="2">
        <f t="shared" ca="1" si="34"/>
        <v>0</v>
      </c>
      <c r="Q319" s="2">
        <v>0</v>
      </c>
      <c r="R319" s="2">
        <f t="shared" si="35"/>
        <v>0</v>
      </c>
      <c r="S319" s="2">
        <v>0</v>
      </c>
      <c r="T319" s="2">
        <v>0</v>
      </c>
      <c r="U319" s="2">
        <v>0</v>
      </c>
      <c r="V319" s="2">
        <f t="shared" si="36"/>
        <v>0</v>
      </c>
      <c r="W319" s="2">
        <v>0</v>
      </c>
      <c r="X319" s="2">
        <f t="shared" si="37"/>
        <v>0</v>
      </c>
      <c r="Y319" s="2">
        <v>0</v>
      </c>
      <c r="Z319" s="2">
        <f t="shared" si="38"/>
        <v>0</v>
      </c>
      <c r="AA319" s="2">
        <f t="shared" si="39"/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 x14ac:dyDescent="0.3">
      <c r="A320" s="2" t="s">
        <v>35</v>
      </c>
      <c r="B320" s="2" t="s">
        <v>896</v>
      </c>
      <c r="C320" s="2" t="s">
        <v>51</v>
      </c>
      <c r="D320" s="2" t="s">
        <v>897</v>
      </c>
      <c r="E320" s="2">
        <v>2007</v>
      </c>
      <c r="F320" s="2">
        <v>13</v>
      </c>
      <c r="G320" s="2">
        <v>12</v>
      </c>
      <c r="H320" s="2">
        <v>3</v>
      </c>
      <c r="I320" s="2">
        <v>1</v>
      </c>
      <c r="J320" s="2">
        <v>3</v>
      </c>
      <c r="K320" s="2">
        <f t="shared" ca="1" si="32"/>
        <v>19</v>
      </c>
      <c r="L320" s="2">
        <v>6</v>
      </c>
      <c r="M320" s="2">
        <v>6</v>
      </c>
      <c r="N320" s="2">
        <v>142</v>
      </c>
      <c r="O320" s="2">
        <f t="shared" ca="1" si="33"/>
        <v>0.31578947368421051</v>
      </c>
      <c r="P320" s="2">
        <f t="shared" ca="1" si="34"/>
        <v>50.890688259109311</v>
      </c>
      <c r="Q320" s="2">
        <v>4.8868999999999998</v>
      </c>
      <c r="R320" s="2">
        <f t="shared" si="35"/>
        <v>86.053076923076929</v>
      </c>
      <c r="S320" s="2">
        <v>6</v>
      </c>
      <c r="T320" s="2">
        <v>11</v>
      </c>
      <c r="U320" s="2">
        <v>23.333300000000001</v>
      </c>
      <c r="V320" s="2">
        <f t="shared" si="36"/>
        <v>11.832151114653666</v>
      </c>
      <c r="W320" s="2">
        <v>3</v>
      </c>
      <c r="X320" s="2">
        <f t="shared" si="37"/>
        <v>8.1240384046359608</v>
      </c>
      <c r="Y320" s="2">
        <v>15</v>
      </c>
      <c r="Z320" s="2">
        <f t="shared" si="38"/>
        <v>9.4868329805051381</v>
      </c>
      <c r="AA320" s="2">
        <f t="shared" si="39"/>
        <v>10.198029221374098</v>
      </c>
      <c r="AB320" s="2">
        <v>18.493200000000002</v>
      </c>
      <c r="AC320" s="2">
        <v>3</v>
      </c>
      <c r="AD320" s="2">
        <v>1</v>
      </c>
      <c r="AE320" s="2">
        <v>1</v>
      </c>
      <c r="AF320" s="2">
        <v>4</v>
      </c>
      <c r="AG320" s="2">
        <v>1</v>
      </c>
    </row>
    <row r="321" spans="1:33" x14ac:dyDescent="0.3">
      <c r="A321" s="2" t="s">
        <v>35</v>
      </c>
      <c r="B321" s="2" t="s">
        <v>899</v>
      </c>
      <c r="C321" s="2" t="s">
        <v>109</v>
      </c>
      <c r="D321" s="2" t="s">
        <v>900</v>
      </c>
      <c r="E321" s="2">
        <v>2012</v>
      </c>
      <c r="F321" s="2">
        <v>29</v>
      </c>
      <c r="G321" s="2">
        <v>5</v>
      </c>
      <c r="H321" s="2">
        <v>6</v>
      </c>
      <c r="I321" s="2">
        <v>1</v>
      </c>
      <c r="J321" s="2">
        <v>6</v>
      </c>
      <c r="K321" s="2">
        <f t="shared" ca="1" si="32"/>
        <v>14</v>
      </c>
      <c r="L321" s="2">
        <v>9</v>
      </c>
      <c r="M321" s="2">
        <v>9</v>
      </c>
      <c r="N321" s="2">
        <v>561</v>
      </c>
      <c r="O321" s="2">
        <f t="shared" ca="1" si="33"/>
        <v>0.6428571428571429</v>
      </c>
      <c r="P321" s="2">
        <f t="shared" ca="1" si="34"/>
        <v>41.871921182266007</v>
      </c>
      <c r="Q321" s="2">
        <v>9.0129000000000001</v>
      </c>
      <c r="R321" s="2">
        <f t="shared" si="35"/>
        <v>70.734137931034482</v>
      </c>
      <c r="S321" s="2">
        <v>9</v>
      </c>
      <c r="T321" s="2">
        <v>23</v>
      </c>
      <c r="U321" s="2">
        <v>60.333300000000001</v>
      </c>
      <c r="V321" s="2">
        <f t="shared" si="36"/>
        <v>23.302353958345066</v>
      </c>
      <c r="W321" s="2">
        <v>5</v>
      </c>
      <c r="X321" s="2">
        <f t="shared" si="37"/>
        <v>14.387494569938159</v>
      </c>
      <c r="Y321" s="2">
        <v>27</v>
      </c>
      <c r="Z321" s="2">
        <f t="shared" si="38"/>
        <v>15.588457268119896</v>
      </c>
      <c r="AA321" s="2">
        <f t="shared" si="39"/>
        <v>21.494178281571966</v>
      </c>
      <c r="AB321" s="2">
        <v>39.369999999999997</v>
      </c>
      <c r="AC321" s="2">
        <v>8</v>
      </c>
      <c r="AD321" s="2">
        <v>2</v>
      </c>
      <c r="AE321" s="2">
        <v>5</v>
      </c>
      <c r="AF321" s="2">
        <v>3</v>
      </c>
      <c r="AG321" s="2">
        <v>0</v>
      </c>
    </row>
    <row r="322" spans="1:33" x14ac:dyDescent="0.3">
      <c r="A322" s="2" t="s">
        <v>35</v>
      </c>
      <c r="B322" s="2" t="s">
        <v>1140</v>
      </c>
      <c r="C322" s="2" t="s">
        <v>55</v>
      </c>
      <c r="D322" s="2" t="s">
        <v>1141</v>
      </c>
      <c r="E322" s="2">
        <v>2022</v>
      </c>
      <c r="F322" s="2">
        <v>2</v>
      </c>
      <c r="G322" s="2">
        <v>0</v>
      </c>
      <c r="H322" s="2">
        <v>1</v>
      </c>
      <c r="I322" s="2">
        <v>1</v>
      </c>
      <c r="J322" s="2">
        <v>1</v>
      </c>
      <c r="K322" s="2">
        <f t="shared" ref="K322:K379" ca="1" si="40">IF((YEAR(TODAY())-E322)&lt;=0,1,YEAR(TODAY())-E322)</f>
        <v>4</v>
      </c>
      <c r="L322" s="2">
        <v>0</v>
      </c>
      <c r="M322" s="2">
        <v>0</v>
      </c>
      <c r="N322" s="2">
        <v>0</v>
      </c>
      <c r="O322" s="2">
        <f t="shared" ref="O322:O379" ca="1" si="41">IFERROR(L322/K322,0)</f>
        <v>0</v>
      </c>
      <c r="P322" s="2">
        <f t="shared" ref="P322:P385" ca="1" si="42">IFERROR((100/F322)*(L322-0.1*G322+0.5*J322+O322),0)</f>
        <v>25</v>
      </c>
      <c r="Q322" s="2">
        <v>0</v>
      </c>
      <c r="R322" s="2">
        <f t="shared" ref="R322:R385" si="43">IFERROR((100/F322)*(L322-0.1*G322+0.5*J322+Q322),0)</f>
        <v>25</v>
      </c>
      <c r="S322" s="2">
        <v>0</v>
      </c>
      <c r="T322" s="2">
        <v>0</v>
      </c>
      <c r="U322" s="2">
        <v>0</v>
      </c>
      <c r="V322" s="2">
        <f t="shared" ref="V322:V385" si="44">IFERROR(SQRT(U322*S322),0)</f>
        <v>0</v>
      </c>
      <c r="W322" s="2">
        <v>0</v>
      </c>
      <c r="X322" s="2">
        <f t="shared" ref="X322:X379" si="45">IFERROR(SQRT(S322*T322),0)</f>
        <v>0</v>
      </c>
      <c r="Y322" s="2">
        <v>0</v>
      </c>
      <c r="Z322" s="2">
        <f t="shared" ref="Z322:Z385" si="46">IFERROR(SQRT(S322*Y322),0)</f>
        <v>0</v>
      </c>
      <c r="AA322" s="2">
        <f t="shared" ref="AA322:AA379" si="47">IFERROR(SQRT(MAX(U322*S322-S322^2,0)),0)</f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 x14ac:dyDescent="0.3">
      <c r="A323" s="2" t="s">
        <v>35</v>
      </c>
      <c r="B323" s="2" t="s">
        <v>902</v>
      </c>
      <c r="C323" s="2" t="s">
        <v>91</v>
      </c>
      <c r="D323" s="2" t="s">
        <v>903</v>
      </c>
      <c r="E323" s="2">
        <v>1992</v>
      </c>
      <c r="F323" s="2">
        <v>216</v>
      </c>
      <c r="G323" s="2">
        <v>31</v>
      </c>
      <c r="H323" s="2">
        <v>26</v>
      </c>
      <c r="I323" s="2">
        <v>27</v>
      </c>
      <c r="J323" s="2">
        <v>49</v>
      </c>
      <c r="K323" s="2">
        <f t="shared" ca="1" si="40"/>
        <v>34</v>
      </c>
      <c r="L323" s="2">
        <v>32</v>
      </c>
      <c r="M323" s="2">
        <v>69</v>
      </c>
      <c r="N323" s="2">
        <v>3066</v>
      </c>
      <c r="O323" s="2">
        <f t="shared" ca="1" si="41"/>
        <v>0.94117647058823528</v>
      </c>
      <c r="P323" s="2">
        <f t="shared" ca="1" si="42"/>
        <v>25.157952069716774</v>
      </c>
      <c r="Q323" s="2">
        <v>12.4434</v>
      </c>
      <c r="R323" s="2">
        <f t="shared" si="43"/>
        <v>30.483055555555556</v>
      </c>
      <c r="S323" s="2">
        <v>32</v>
      </c>
      <c r="T323" s="2">
        <v>51</v>
      </c>
      <c r="U323" s="2">
        <v>70.5625</v>
      </c>
      <c r="V323" s="2">
        <f t="shared" si="44"/>
        <v>47.518417482066887</v>
      </c>
      <c r="W323" s="2">
        <v>8</v>
      </c>
      <c r="X323" s="2">
        <f t="shared" si="45"/>
        <v>40.39801975344831</v>
      </c>
      <c r="Y323" s="2">
        <v>45</v>
      </c>
      <c r="Z323" s="2">
        <f t="shared" si="46"/>
        <v>37.947331922020552</v>
      </c>
      <c r="AA323" s="2">
        <f t="shared" si="47"/>
        <v>35.128336140500593</v>
      </c>
      <c r="AB323" s="2">
        <v>155.38980000000001</v>
      </c>
      <c r="AC323" s="2">
        <v>19</v>
      </c>
      <c r="AD323" s="2">
        <v>6</v>
      </c>
      <c r="AE323" s="2">
        <v>13</v>
      </c>
      <c r="AF323" s="2">
        <v>22</v>
      </c>
      <c r="AG323" s="2">
        <v>12</v>
      </c>
    </row>
    <row r="324" spans="1:33" x14ac:dyDescent="0.3">
      <c r="A324" s="2" t="s">
        <v>35</v>
      </c>
      <c r="B324" s="2" t="s">
        <v>905</v>
      </c>
      <c r="C324" s="2" t="s">
        <v>240</v>
      </c>
      <c r="D324" s="2" t="s">
        <v>906</v>
      </c>
      <c r="E324" s="2">
        <v>1999</v>
      </c>
      <c r="F324" s="2">
        <v>17</v>
      </c>
      <c r="G324" s="2">
        <v>0</v>
      </c>
      <c r="H324" s="2">
        <v>11</v>
      </c>
      <c r="I324" s="2">
        <v>8</v>
      </c>
      <c r="J324" s="2">
        <v>11</v>
      </c>
      <c r="K324" s="2">
        <f t="shared" ca="1" si="40"/>
        <v>27</v>
      </c>
      <c r="L324" s="2">
        <v>3</v>
      </c>
      <c r="M324" s="2">
        <v>2</v>
      </c>
      <c r="N324" s="2">
        <v>60</v>
      </c>
      <c r="O324" s="2">
        <f t="shared" ca="1" si="41"/>
        <v>0.1111111111111111</v>
      </c>
      <c r="P324" s="2">
        <f t="shared" ca="1" si="42"/>
        <v>50.653594771241835</v>
      </c>
      <c r="Q324" s="2">
        <v>2.4466999999999999</v>
      </c>
      <c r="R324" s="2">
        <f t="shared" si="43"/>
        <v>64.392352941176469</v>
      </c>
      <c r="S324" s="2">
        <v>3</v>
      </c>
      <c r="T324" s="2">
        <v>7</v>
      </c>
      <c r="U324" s="2">
        <v>17</v>
      </c>
      <c r="V324" s="2">
        <f t="shared" si="44"/>
        <v>7.1414284285428504</v>
      </c>
      <c r="W324" s="2">
        <v>2</v>
      </c>
      <c r="X324" s="2">
        <f t="shared" si="45"/>
        <v>4.5825756949558398</v>
      </c>
      <c r="Y324" s="2">
        <v>19</v>
      </c>
      <c r="Z324" s="2">
        <f t="shared" si="46"/>
        <v>7.5498344352707498</v>
      </c>
      <c r="AA324" s="2">
        <f t="shared" si="47"/>
        <v>6.4807406984078604</v>
      </c>
      <c r="AB324" s="2">
        <v>8.7178000000000004</v>
      </c>
      <c r="AC324" s="2">
        <v>3</v>
      </c>
      <c r="AD324" s="2">
        <v>1</v>
      </c>
      <c r="AE324" s="2">
        <v>2</v>
      </c>
      <c r="AF324" s="2">
        <v>1</v>
      </c>
      <c r="AG324" s="2">
        <v>2</v>
      </c>
    </row>
    <row r="325" spans="1:33" x14ac:dyDescent="0.3">
      <c r="A325" s="2" t="s">
        <v>35</v>
      </c>
      <c r="B325" s="2" t="s">
        <v>908</v>
      </c>
      <c r="C325" s="2" t="s">
        <v>74</v>
      </c>
      <c r="D325" s="2" t="s">
        <v>909</v>
      </c>
      <c r="E325" s="2">
        <v>1992</v>
      </c>
      <c r="F325" s="2">
        <v>56</v>
      </c>
      <c r="G325" s="2">
        <v>40</v>
      </c>
      <c r="H325" s="2">
        <v>13</v>
      </c>
      <c r="I325" s="2">
        <v>3</v>
      </c>
      <c r="J325" s="2">
        <v>15</v>
      </c>
      <c r="K325" s="2">
        <f t="shared" ca="1" si="40"/>
        <v>34</v>
      </c>
      <c r="L325" s="2">
        <v>24</v>
      </c>
      <c r="M325" s="2">
        <v>41</v>
      </c>
      <c r="N325" s="2">
        <v>2199</v>
      </c>
      <c r="O325" s="2">
        <f t="shared" ca="1" si="41"/>
        <v>0.70588235294117652</v>
      </c>
      <c r="P325" s="2">
        <f t="shared" ca="1" si="42"/>
        <v>50.367647058823536</v>
      </c>
      <c r="Q325" s="2">
        <v>17.528099999999998</v>
      </c>
      <c r="R325" s="2">
        <f t="shared" si="43"/>
        <v>80.407321428571422</v>
      </c>
      <c r="S325" s="2">
        <v>24</v>
      </c>
      <c r="T325" s="2">
        <v>46</v>
      </c>
      <c r="U325" s="2">
        <v>78.125</v>
      </c>
      <c r="V325" s="2">
        <f t="shared" si="44"/>
        <v>43.301270189221931</v>
      </c>
      <c r="W325" s="2">
        <v>8</v>
      </c>
      <c r="X325" s="2">
        <f t="shared" si="45"/>
        <v>33.226495451672299</v>
      </c>
      <c r="Y325" s="2">
        <v>45</v>
      </c>
      <c r="Z325" s="2">
        <f t="shared" si="46"/>
        <v>32.863353450309965</v>
      </c>
      <c r="AA325" s="2">
        <f t="shared" si="47"/>
        <v>36.041642581880197</v>
      </c>
      <c r="AB325" s="2">
        <v>118.7055</v>
      </c>
      <c r="AC325" s="2">
        <v>18</v>
      </c>
      <c r="AD325" s="2">
        <v>10</v>
      </c>
      <c r="AE325" s="2">
        <v>14</v>
      </c>
      <c r="AF325" s="2">
        <v>13</v>
      </c>
      <c r="AG325" s="2">
        <v>1</v>
      </c>
    </row>
    <row r="326" spans="1:33" x14ac:dyDescent="0.3">
      <c r="A326" s="2" t="s">
        <v>35</v>
      </c>
      <c r="B326" s="2" t="s">
        <v>911</v>
      </c>
      <c r="C326" s="2" t="s">
        <v>43</v>
      </c>
      <c r="D326" s="2" t="s">
        <v>912</v>
      </c>
      <c r="E326" s="2">
        <v>2022</v>
      </c>
      <c r="F326" s="2">
        <v>4</v>
      </c>
      <c r="G326" s="2">
        <v>0</v>
      </c>
      <c r="H326" s="2">
        <v>4</v>
      </c>
      <c r="I326" s="2">
        <v>4</v>
      </c>
      <c r="J326" s="2">
        <v>4</v>
      </c>
      <c r="K326" s="2">
        <f t="shared" ca="1" si="40"/>
        <v>4</v>
      </c>
      <c r="L326" s="2">
        <v>2</v>
      </c>
      <c r="M326" s="2">
        <v>0</v>
      </c>
      <c r="N326" s="2">
        <v>12</v>
      </c>
      <c r="O326" s="2">
        <f t="shared" ca="1" si="41"/>
        <v>0.5</v>
      </c>
      <c r="P326" s="2">
        <f t="shared" ca="1" si="42"/>
        <v>112.5</v>
      </c>
      <c r="Q326" s="2">
        <v>1.7888999999999999</v>
      </c>
      <c r="R326" s="2">
        <f t="shared" si="43"/>
        <v>144.7225</v>
      </c>
      <c r="S326" s="2">
        <v>2</v>
      </c>
      <c r="T326" s="2">
        <v>3</v>
      </c>
      <c r="U326" s="2">
        <v>6</v>
      </c>
      <c r="V326" s="2">
        <f t="shared" si="44"/>
        <v>3.4641016151377544</v>
      </c>
      <c r="W326" s="2">
        <v>2</v>
      </c>
      <c r="X326" s="2">
        <f t="shared" si="45"/>
        <v>2.4494897427831779</v>
      </c>
      <c r="Y326" s="2">
        <v>6</v>
      </c>
      <c r="Z326" s="2">
        <f t="shared" si="46"/>
        <v>3.4641016151377544</v>
      </c>
      <c r="AA326" s="2">
        <f t="shared" si="47"/>
        <v>2.8284271247461903</v>
      </c>
      <c r="AB326" s="2">
        <v>4.2426000000000004</v>
      </c>
      <c r="AC326" s="2">
        <v>2</v>
      </c>
      <c r="AD326" s="2">
        <v>0</v>
      </c>
      <c r="AE326" s="2">
        <v>0</v>
      </c>
      <c r="AF326" s="2">
        <v>0</v>
      </c>
      <c r="AG326" s="2">
        <v>2</v>
      </c>
    </row>
    <row r="327" spans="1:33" x14ac:dyDescent="0.3">
      <c r="A327" s="2" t="s">
        <v>35</v>
      </c>
      <c r="B327" s="2" t="s">
        <v>914</v>
      </c>
      <c r="C327" s="2" t="s">
        <v>38</v>
      </c>
      <c r="D327" s="2" t="s">
        <v>915</v>
      </c>
      <c r="E327" s="2">
        <v>1965</v>
      </c>
      <c r="F327" s="2">
        <v>668</v>
      </c>
      <c r="G327" s="2">
        <v>382</v>
      </c>
      <c r="H327" s="2">
        <v>130</v>
      </c>
      <c r="I327" s="2">
        <v>56</v>
      </c>
      <c r="J327" s="2">
        <v>148</v>
      </c>
      <c r="K327" s="2">
        <f t="shared" ca="1" si="40"/>
        <v>61</v>
      </c>
      <c r="L327" s="2">
        <v>29</v>
      </c>
      <c r="M327" s="2">
        <v>82</v>
      </c>
      <c r="N327" s="2">
        <v>3100</v>
      </c>
      <c r="O327" s="2">
        <f t="shared" ca="1" si="41"/>
        <v>0.47540983606557374</v>
      </c>
      <c r="P327" s="2">
        <f t="shared" ca="1" si="42"/>
        <v>9.7717679395307737</v>
      </c>
      <c r="Q327" s="2">
        <v>18.564900000000002</v>
      </c>
      <c r="R327" s="2">
        <f t="shared" si="43"/>
        <v>12.479775449101796</v>
      </c>
      <c r="S327" s="2">
        <v>37</v>
      </c>
      <c r="T327" s="2">
        <v>58</v>
      </c>
      <c r="U327" s="2">
        <v>71.972999999999999</v>
      </c>
      <c r="V327" s="2">
        <f t="shared" si="44"/>
        <v>51.604273078883686</v>
      </c>
      <c r="W327" s="2">
        <v>10</v>
      </c>
      <c r="X327" s="2">
        <f t="shared" si="45"/>
        <v>46.324939287601879</v>
      </c>
      <c r="Y327" s="2">
        <v>54</v>
      </c>
      <c r="Z327" s="2">
        <f t="shared" si="46"/>
        <v>44.698993277254019</v>
      </c>
      <c r="AA327" s="2">
        <f t="shared" si="47"/>
        <v>35.972225396825252</v>
      </c>
      <c r="AB327" s="2">
        <v>195.25370000000001</v>
      </c>
      <c r="AC327" s="2">
        <v>14</v>
      </c>
      <c r="AD327" s="2">
        <v>10</v>
      </c>
      <c r="AE327" s="2">
        <v>13</v>
      </c>
      <c r="AF327" s="2">
        <v>35</v>
      </c>
      <c r="AG327" s="2">
        <v>10</v>
      </c>
    </row>
    <row r="328" spans="1:33" x14ac:dyDescent="0.3">
      <c r="A328" s="2" t="s">
        <v>35</v>
      </c>
      <c r="B328" s="2" t="s">
        <v>917</v>
      </c>
      <c r="C328" s="2" t="s">
        <v>43</v>
      </c>
      <c r="D328" s="2" t="s">
        <v>918</v>
      </c>
      <c r="E328" s="2">
        <v>1991</v>
      </c>
      <c r="F328" s="2">
        <v>31</v>
      </c>
      <c r="G328" s="2">
        <v>0</v>
      </c>
      <c r="H328" s="2">
        <v>30</v>
      </c>
      <c r="I328" s="2">
        <v>27</v>
      </c>
      <c r="J328" s="2">
        <v>30</v>
      </c>
      <c r="K328" s="2">
        <f t="shared" ca="1" si="40"/>
        <v>35</v>
      </c>
      <c r="L328" s="2">
        <v>4</v>
      </c>
      <c r="M328" s="2">
        <v>0</v>
      </c>
      <c r="N328" s="2">
        <v>34</v>
      </c>
      <c r="O328" s="2">
        <f t="shared" ca="1" si="41"/>
        <v>0.11428571428571428</v>
      </c>
      <c r="P328" s="2">
        <f t="shared" ca="1" si="42"/>
        <v>61.658986175115203</v>
      </c>
      <c r="Q328" s="2">
        <v>1.6021000000000001</v>
      </c>
      <c r="R328" s="2">
        <f t="shared" si="43"/>
        <v>66.458387096774189</v>
      </c>
      <c r="S328" s="2">
        <v>4</v>
      </c>
      <c r="T328" s="2">
        <v>4</v>
      </c>
      <c r="U328" s="2">
        <v>5</v>
      </c>
      <c r="V328" s="2">
        <f t="shared" si="44"/>
        <v>4.4721359549995796</v>
      </c>
      <c r="W328" s="2">
        <v>2</v>
      </c>
      <c r="X328" s="2">
        <f t="shared" si="45"/>
        <v>4</v>
      </c>
      <c r="Y328" s="2">
        <v>4.5</v>
      </c>
      <c r="Z328" s="2">
        <f t="shared" si="46"/>
        <v>4.2426406871192848</v>
      </c>
      <c r="AA328" s="2">
        <f t="shared" si="47"/>
        <v>2</v>
      </c>
      <c r="AB328" s="2">
        <v>6.7081999999999997</v>
      </c>
      <c r="AC328" s="2">
        <v>4</v>
      </c>
      <c r="AD328" s="2">
        <v>1</v>
      </c>
      <c r="AE328" s="2">
        <v>0</v>
      </c>
      <c r="AF328" s="2">
        <v>0</v>
      </c>
      <c r="AG328" s="2">
        <v>3</v>
      </c>
    </row>
    <row r="329" spans="1:33" x14ac:dyDescent="0.3">
      <c r="A329" s="2" t="s">
        <v>35</v>
      </c>
      <c r="B329" s="2" t="s">
        <v>920</v>
      </c>
      <c r="C329" s="2" t="s">
        <v>240</v>
      </c>
      <c r="D329" s="2" t="s">
        <v>921</v>
      </c>
      <c r="E329" s="2">
        <v>1995</v>
      </c>
      <c r="F329" s="2">
        <v>13</v>
      </c>
      <c r="G329" s="2">
        <v>0</v>
      </c>
      <c r="H329" s="2">
        <v>8</v>
      </c>
      <c r="I329" s="2">
        <v>6</v>
      </c>
      <c r="J329" s="2">
        <v>9</v>
      </c>
      <c r="K329" s="2">
        <f t="shared" ca="1" si="40"/>
        <v>31</v>
      </c>
      <c r="L329" s="2">
        <v>7</v>
      </c>
      <c r="M329" s="2">
        <v>6</v>
      </c>
      <c r="N329" s="2">
        <v>533</v>
      </c>
      <c r="O329" s="2">
        <f t="shared" ca="1" si="41"/>
        <v>0.22580645161290322</v>
      </c>
      <c r="P329" s="2">
        <f t="shared" ca="1" si="42"/>
        <v>90.198511166253112</v>
      </c>
      <c r="Q329" s="2">
        <v>5.2458999999999998</v>
      </c>
      <c r="R329" s="2">
        <f t="shared" si="43"/>
        <v>128.81461538461539</v>
      </c>
      <c r="S329" s="2">
        <v>7</v>
      </c>
      <c r="T329" s="2">
        <v>13</v>
      </c>
      <c r="U329" s="2">
        <v>75.714299999999994</v>
      </c>
      <c r="V329" s="2">
        <f t="shared" si="44"/>
        <v>23.021731038303788</v>
      </c>
      <c r="W329" s="2">
        <v>4</v>
      </c>
      <c r="X329" s="2">
        <f t="shared" si="45"/>
        <v>9.5393920141694561</v>
      </c>
      <c r="Y329" s="2">
        <v>16</v>
      </c>
      <c r="Z329" s="2">
        <f t="shared" si="46"/>
        <v>10.583005244258363</v>
      </c>
      <c r="AA329" s="2">
        <f t="shared" si="47"/>
        <v>21.931714479264954</v>
      </c>
      <c r="AB329" s="2">
        <v>28.178000000000001</v>
      </c>
      <c r="AC329" s="2">
        <v>6</v>
      </c>
      <c r="AD329" s="2">
        <v>2</v>
      </c>
      <c r="AE329" s="2">
        <v>4</v>
      </c>
      <c r="AF329" s="2">
        <v>0</v>
      </c>
      <c r="AG329" s="2">
        <v>2</v>
      </c>
    </row>
    <row r="330" spans="1:33" x14ac:dyDescent="0.3">
      <c r="A330" s="2" t="s">
        <v>35</v>
      </c>
      <c r="B330" s="2" t="s">
        <v>923</v>
      </c>
      <c r="C330" s="2" t="s">
        <v>74</v>
      </c>
      <c r="D330" s="2" t="s">
        <v>924</v>
      </c>
      <c r="E330" s="2">
        <v>2015</v>
      </c>
      <c r="F330" s="2">
        <v>18</v>
      </c>
      <c r="G330" s="2">
        <v>6</v>
      </c>
      <c r="H330" s="2">
        <v>5</v>
      </c>
      <c r="I330" s="2">
        <v>2</v>
      </c>
      <c r="J330" s="2">
        <v>6</v>
      </c>
      <c r="K330" s="2">
        <f t="shared" ca="1" si="40"/>
        <v>11</v>
      </c>
      <c r="L330" s="2">
        <v>11</v>
      </c>
      <c r="M330" s="2">
        <v>11</v>
      </c>
      <c r="N330" s="2">
        <v>396</v>
      </c>
      <c r="O330" s="2">
        <f t="shared" ca="1" si="41"/>
        <v>1</v>
      </c>
      <c r="P330" s="2">
        <f t="shared" ca="1" si="42"/>
        <v>80</v>
      </c>
      <c r="Q330" s="2">
        <v>6.4600999999999997</v>
      </c>
      <c r="R330" s="2">
        <f t="shared" si="43"/>
        <v>110.33388888888888</v>
      </c>
      <c r="S330" s="2">
        <v>11</v>
      </c>
      <c r="T330" s="2">
        <v>18</v>
      </c>
      <c r="U330" s="2">
        <v>34.454500000000003</v>
      </c>
      <c r="V330" s="2">
        <f t="shared" si="44"/>
        <v>19.467909492290126</v>
      </c>
      <c r="W330" s="2">
        <v>5</v>
      </c>
      <c r="X330" s="2">
        <f t="shared" si="45"/>
        <v>14.071247279470288</v>
      </c>
      <c r="Y330" s="2">
        <v>26</v>
      </c>
      <c r="Z330" s="2">
        <f t="shared" si="46"/>
        <v>16.911534525287763</v>
      </c>
      <c r="AA330" s="2">
        <f t="shared" si="47"/>
        <v>16.06236283988131</v>
      </c>
      <c r="AB330" s="2">
        <v>38.574599999999997</v>
      </c>
      <c r="AC330" s="2">
        <v>5</v>
      </c>
      <c r="AD330" s="2">
        <v>2</v>
      </c>
      <c r="AE330" s="2">
        <v>0</v>
      </c>
      <c r="AF330" s="2">
        <v>10</v>
      </c>
      <c r="AG330" s="2">
        <v>1</v>
      </c>
    </row>
    <row r="331" spans="1:33" x14ac:dyDescent="0.3">
      <c r="A331" s="2" t="s">
        <v>35</v>
      </c>
      <c r="B331" s="2" t="s">
        <v>926</v>
      </c>
      <c r="C331" s="2" t="s">
        <v>43</v>
      </c>
      <c r="D331" s="2" t="s">
        <v>927</v>
      </c>
      <c r="E331" s="2">
        <v>1957</v>
      </c>
      <c r="F331" s="2">
        <v>88</v>
      </c>
      <c r="G331" s="2">
        <v>8</v>
      </c>
      <c r="H331" s="2">
        <v>40</v>
      </c>
      <c r="I331" s="2">
        <v>37</v>
      </c>
      <c r="J331" s="2">
        <v>54</v>
      </c>
      <c r="K331" s="2">
        <f t="shared" ca="1" si="40"/>
        <v>69</v>
      </c>
      <c r="L331" s="2">
        <v>13</v>
      </c>
      <c r="M331" s="2">
        <v>16</v>
      </c>
      <c r="N331" s="2">
        <v>774</v>
      </c>
      <c r="O331" s="2">
        <f t="shared" ca="1" si="41"/>
        <v>0.18840579710144928</v>
      </c>
      <c r="P331" s="2">
        <f t="shared" ca="1" si="42"/>
        <v>44.759552042160749</v>
      </c>
      <c r="Q331" s="2">
        <v>7.0468000000000002</v>
      </c>
      <c r="R331" s="2">
        <f t="shared" si="43"/>
        <v>52.553181818181827</v>
      </c>
      <c r="S331" s="2">
        <v>13</v>
      </c>
      <c r="T331" s="2">
        <v>26</v>
      </c>
      <c r="U331" s="2">
        <v>47.846200000000003</v>
      </c>
      <c r="V331" s="2">
        <f t="shared" si="44"/>
        <v>24.939939855581049</v>
      </c>
      <c r="W331" s="2">
        <v>5</v>
      </c>
      <c r="X331" s="2">
        <f t="shared" si="45"/>
        <v>18.384776310850235</v>
      </c>
      <c r="Y331" s="2">
        <v>24</v>
      </c>
      <c r="Z331" s="2">
        <f t="shared" si="46"/>
        <v>17.663521732655695</v>
      </c>
      <c r="AA331" s="2">
        <f t="shared" si="47"/>
        <v>21.283810749017668</v>
      </c>
      <c r="AB331" s="2">
        <v>47.958300000000001</v>
      </c>
      <c r="AC331" s="2">
        <v>11</v>
      </c>
      <c r="AD331" s="2">
        <v>7</v>
      </c>
      <c r="AE331" s="2">
        <v>6</v>
      </c>
      <c r="AF331" s="2">
        <v>3</v>
      </c>
      <c r="AG331" s="2">
        <v>6</v>
      </c>
    </row>
    <row r="332" spans="1:33" x14ac:dyDescent="0.3">
      <c r="A332" s="2" t="s">
        <v>35</v>
      </c>
      <c r="B332" s="2" t="s">
        <v>929</v>
      </c>
      <c r="C332" s="2" t="s">
        <v>51</v>
      </c>
      <c r="D332" s="2" t="s">
        <v>930</v>
      </c>
      <c r="E332" s="2">
        <v>1975</v>
      </c>
      <c r="F332" s="2">
        <v>75</v>
      </c>
      <c r="G332" s="2">
        <v>34</v>
      </c>
      <c r="H332" s="2">
        <v>24</v>
      </c>
      <c r="I332" s="2">
        <v>11</v>
      </c>
      <c r="J332" s="2">
        <v>29</v>
      </c>
      <c r="K332" s="2">
        <f t="shared" ca="1" si="40"/>
        <v>51</v>
      </c>
      <c r="L332" s="2">
        <v>9</v>
      </c>
      <c r="M332" s="2">
        <v>9</v>
      </c>
      <c r="N332" s="2">
        <v>360</v>
      </c>
      <c r="O332" s="2">
        <f t="shared" ca="1" si="41"/>
        <v>0.17647058823529413</v>
      </c>
      <c r="P332" s="2">
        <f t="shared" ca="1" si="42"/>
        <v>27.035294117647059</v>
      </c>
      <c r="Q332" s="2">
        <v>5.2478999999999996</v>
      </c>
      <c r="R332" s="2">
        <f t="shared" si="43"/>
        <v>33.797200000000004</v>
      </c>
      <c r="S332" s="2">
        <v>9</v>
      </c>
      <c r="T332" s="2">
        <v>17</v>
      </c>
      <c r="U332" s="2">
        <v>27.1111</v>
      </c>
      <c r="V332" s="2">
        <f t="shared" si="44"/>
        <v>15.620496150890983</v>
      </c>
      <c r="W332" s="2">
        <v>4</v>
      </c>
      <c r="X332" s="2">
        <f t="shared" si="45"/>
        <v>12.369316876852981</v>
      </c>
      <c r="Y332" s="2">
        <v>19</v>
      </c>
      <c r="Z332" s="2">
        <f t="shared" si="46"/>
        <v>13.076696830622021</v>
      </c>
      <c r="AA332" s="2">
        <f t="shared" si="47"/>
        <v>12.767141418500854</v>
      </c>
      <c r="AB332" s="2">
        <v>29.849599999999999</v>
      </c>
      <c r="AC332" s="2">
        <v>4</v>
      </c>
      <c r="AD332" s="2">
        <v>3</v>
      </c>
      <c r="AE332" s="2">
        <v>4</v>
      </c>
      <c r="AF332" s="2">
        <v>7</v>
      </c>
      <c r="AG332" s="2">
        <v>4</v>
      </c>
    </row>
    <row r="333" spans="1:33" x14ac:dyDescent="0.3">
      <c r="A333" s="2" t="s">
        <v>35</v>
      </c>
      <c r="B333" s="2" t="s">
        <v>932</v>
      </c>
      <c r="C333" s="2" t="s">
        <v>81</v>
      </c>
      <c r="D333" s="2" t="s">
        <v>933</v>
      </c>
      <c r="E333" s="2">
        <v>2001</v>
      </c>
      <c r="F333" s="2">
        <v>111</v>
      </c>
      <c r="G333" s="2">
        <v>48</v>
      </c>
      <c r="H333" s="2">
        <v>5</v>
      </c>
      <c r="I333" s="2">
        <v>38</v>
      </c>
      <c r="J333" s="2">
        <v>39</v>
      </c>
      <c r="K333" s="2">
        <f t="shared" ca="1" si="40"/>
        <v>25</v>
      </c>
      <c r="L333" s="2">
        <v>23</v>
      </c>
      <c r="M333" s="2">
        <v>40</v>
      </c>
      <c r="N333" s="2">
        <v>6149</v>
      </c>
      <c r="O333" s="2">
        <f t="shared" ca="1" si="41"/>
        <v>0.92</v>
      </c>
      <c r="P333" s="2">
        <f t="shared" ca="1" si="42"/>
        <v>34.792792792792795</v>
      </c>
      <c r="Q333" s="2">
        <v>17.134</v>
      </c>
      <c r="R333" s="2">
        <f t="shared" si="43"/>
        <v>49.400000000000006</v>
      </c>
      <c r="S333" s="2">
        <v>24</v>
      </c>
      <c r="T333" s="2">
        <v>78</v>
      </c>
      <c r="U333" s="2">
        <v>240.91669999999999</v>
      </c>
      <c r="V333" s="2">
        <f t="shared" si="44"/>
        <v>76.039468698827719</v>
      </c>
      <c r="W333" s="2">
        <v>10</v>
      </c>
      <c r="X333" s="2">
        <f t="shared" si="45"/>
        <v>43.266615305567875</v>
      </c>
      <c r="Y333" s="2">
        <v>75.5</v>
      </c>
      <c r="Z333" s="2">
        <f t="shared" si="46"/>
        <v>42.567593307585526</v>
      </c>
      <c r="AA333" s="2">
        <f t="shared" si="47"/>
        <v>72.152621573994111</v>
      </c>
      <c r="AB333" s="2">
        <v>149.7465</v>
      </c>
      <c r="AC333" s="2">
        <v>13</v>
      </c>
      <c r="AD333" s="2">
        <v>1</v>
      </c>
      <c r="AE333" s="2">
        <v>3</v>
      </c>
      <c r="AF333" s="2">
        <v>22</v>
      </c>
      <c r="AG333" s="2">
        <v>8</v>
      </c>
    </row>
    <row r="334" spans="1:33" x14ac:dyDescent="0.3">
      <c r="A334" s="2" t="s">
        <v>35</v>
      </c>
      <c r="B334" s="2" t="s">
        <v>935</v>
      </c>
      <c r="C334" s="2" t="s">
        <v>187</v>
      </c>
      <c r="D334" s="2" t="s">
        <v>936</v>
      </c>
      <c r="E334" s="2">
        <v>1938</v>
      </c>
      <c r="F334" s="2">
        <v>58</v>
      </c>
      <c r="G334" s="2">
        <v>18</v>
      </c>
      <c r="H334" s="2">
        <v>15</v>
      </c>
      <c r="I334" s="2">
        <v>13</v>
      </c>
      <c r="J334" s="2">
        <v>19</v>
      </c>
      <c r="K334" s="2">
        <f t="shared" ca="1" si="40"/>
        <v>88</v>
      </c>
      <c r="L334" s="2">
        <v>20</v>
      </c>
      <c r="M334" s="2">
        <v>26</v>
      </c>
      <c r="N334" s="2">
        <v>2039</v>
      </c>
      <c r="O334" s="2">
        <f t="shared" ca="1" si="41"/>
        <v>0.22727272727272727</v>
      </c>
      <c r="P334" s="2">
        <f t="shared" ca="1" si="42"/>
        <v>48.150470219435732</v>
      </c>
      <c r="Q334" s="2">
        <v>16.875900000000001</v>
      </c>
      <c r="R334" s="2">
        <f t="shared" si="43"/>
        <v>76.855000000000004</v>
      </c>
      <c r="S334" s="2">
        <v>20</v>
      </c>
      <c r="T334" s="2">
        <v>45</v>
      </c>
      <c r="U334" s="2">
        <v>95.05</v>
      </c>
      <c r="V334" s="2">
        <f t="shared" si="44"/>
        <v>43.600458713183279</v>
      </c>
      <c r="W334" s="2">
        <v>7</v>
      </c>
      <c r="X334" s="2">
        <f t="shared" si="45"/>
        <v>30</v>
      </c>
      <c r="Y334" s="2">
        <v>36.5</v>
      </c>
      <c r="Z334" s="2">
        <f t="shared" si="46"/>
        <v>27.018512172212592</v>
      </c>
      <c r="AA334" s="2">
        <f t="shared" si="47"/>
        <v>38.742741255621034</v>
      </c>
      <c r="AB334" s="2">
        <v>95.268000000000001</v>
      </c>
      <c r="AC334" s="2">
        <v>14</v>
      </c>
      <c r="AD334" s="2">
        <v>5</v>
      </c>
      <c r="AE334" s="2">
        <v>4</v>
      </c>
      <c r="AF334" s="2">
        <v>10</v>
      </c>
      <c r="AG334" s="2">
        <v>8</v>
      </c>
    </row>
    <row r="335" spans="1:33" x14ac:dyDescent="0.3">
      <c r="A335" s="2" t="s">
        <v>35</v>
      </c>
      <c r="B335" s="2" t="s">
        <v>938</v>
      </c>
      <c r="C335" s="2" t="s">
        <v>240</v>
      </c>
      <c r="D335" s="2" t="s">
        <v>939</v>
      </c>
      <c r="E335" s="2">
        <v>2008</v>
      </c>
      <c r="F335" s="2">
        <v>7</v>
      </c>
      <c r="G335" s="2">
        <v>0</v>
      </c>
      <c r="H335" s="2">
        <v>5</v>
      </c>
      <c r="I335" s="2">
        <v>4</v>
      </c>
      <c r="J335" s="2">
        <v>5</v>
      </c>
      <c r="K335" s="2">
        <f t="shared" ca="1" si="40"/>
        <v>18</v>
      </c>
      <c r="L335" s="2">
        <v>2</v>
      </c>
      <c r="M335" s="2">
        <v>2</v>
      </c>
      <c r="N335" s="2">
        <v>48</v>
      </c>
      <c r="O335" s="2">
        <f t="shared" ca="1" si="41"/>
        <v>0.1111111111111111</v>
      </c>
      <c r="P335" s="2">
        <f t="shared" ca="1" si="42"/>
        <v>65.873015873015873</v>
      </c>
      <c r="Q335" s="2">
        <v>1.7988</v>
      </c>
      <c r="R335" s="2">
        <f t="shared" si="43"/>
        <v>89.982857142857142</v>
      </c>
      <c r="S335" s="2">
        <v>2</v>
      </c>
      <c r="T335" s="2">
        <v>6</v>
      </c>
      <c r="U335" s="2">
        <v>23</v>
      </c>
      <c r="V335" s="2">
        <f t="shared" si="44"/>
        <v>6.7823299831252681</v>
      </c>
      <c r="W335" s="2">
        <v>2</v>
      </c>
      <c r="X335" s="2">
        <f t="shared" si="45"/>
        <v>3.4641016151377544</v>
      </c>
      <c r="Y335" s="2">
        <v>23</v>
      </c>
      <c r="Z335" s="2">
        <f t="shared" si="46"/>
        <v>6.7823299831252681</v>
      </c>
      <c r="AA335" s="2">
        <f t="shared" si="47"/>
        <v>6.4807406984078604</v>
      </c>
      <c r="AB335" s="2">
        <v>8.1853999999999996</v>
      </c>
      <c r="AC335" s="2">
        <v>2</v>
      </c>
      <c r="AD335" s="2">
        <v>0</v>
      </c>
      <c r="AE335" s="2">
        <v>0</v>
      </c>
      <c r="AF335" s="2">
        <v>1</v>
      </c>
      <c r="AG335" s="2">
        <v>1</v>
      </c>
    </row>
    <row r="336" spans="1:33" x14ac:dyDescent="0.3">
      <c r="A336" s="2" t="s">
        <v>35</v>
      </c>
      <c r="B336" s="2" t="s">
        <v>941</v>
      </c>
      <c r="C336" s="2" t="s">
        <v>240</v>
      </c>
      <c r="D336" s="2" t="s">
        <v>942</v>
      </c>
      <c r="E336" s="2">
        <v>2006</v>
      </c>
      <c r="F336" s="2">
        <v>51</v>
      </c>
      <c r="G336" s="2">
        <v>0</v>
      </c>
      <c r="H336" s="2">
        <v>51</v>
      </c>
      <c r="I336" s="2">
        <v>51</v>
      </c>
      <c r="J336" s="2">
        <v>51</v>
      </c>
      <c r="K336" s="2">
        <f t="shared" ca="1" si="40"/>
        <v>20</v>
      </c>
      <c r="L336" s="2">
        <v>8</v>
      </c>
      <c r="M336" s="2">
        <v>4</v>
      </c>
      <c r="N336" s="2">
        <v>129</v>
      </c>
      <c r="O336" s="2">
        <f t="shared" ca="1" si="41"/>
        <v>0.4</v>
      </c>
      <c r="P336" s="2">
        <f t="shared" ca="1" si="42"/>
        <v>66.470588235294116</v>
      </c>
      <c r="Q336" s="2">
        <v>2.3618000000000001</v>
      </c>
      <c r="R336" s="2">
        <f t="shared" si="43"/>
        <v>70.31725490196078</v>
      </c>
      <c r="S336" s="2">
        <v>8</v>
      </c>
      <c r="T336" s="2">
        <v>9</v>
      </c>
      <c r="U336" s="2">
        <v>10.625</v>
      </c>
      <c r="V336" s="2">
        <f t="shared" si="44"/>
        <v>9.2195444572928871</v>
      </c>
      <c r="W336" s="2">
        <v>3</v>
      </c>
      <c r="X336" s="2">
        <f t="shared" si="45"/>
        <v>8.4852813742385695</v>
      </c>
      <c r="Y336" s="2">
        <v>9.5</v>
      </c>
      <c r="Z336" s="2">
        <f t="shared" si="46"/>
        <v>8.717797887081348</v>
      </c>
      <c r="AA336" s="2">
        <f t="shared" si="47"/>
        <v>4.5825756949558398</v>
      </c>
      <c r="AB336" s="2">
        <v>18.303000000000001</v>
      </c>
      <c r="AC336" s="2">
        <v>8</v>
      </c>
      <c r="AD336" s="2">
        <v>0</v>
      </c>
      <c r="AE336" s="2">
        <v>0</v>
      </c>
      <c r="AF336" s="2">
        <v>0</v>
      </c>
      <c r="AG336" s="2">
        <v>8</v>
      </c>
    </row>
    <row r="337" spans="1:33" x14ac:dyDescent="0.3">
      <c r="A337" s="2" t="s">
        <v>35</v>
      </c>
      <c r="B337" s="2" t="s">
        <v>944</v>
      </c>
      <c r="C337" s="2" t="s">
        <v>43</v>
      </c>
      <c r="D337" s="2" t="s">
        <v>945</v>
      </c>
      <c r="E337" s="2">
        <v>2006</v>
      </c>
      <c r="F337" s="2">
        <v>16</v>
      </c>
      <c r="G337" s="2">
        <v>0</v>
      </c>
      <c r="H337" s="2">
        <v>12</v>
      </c>
      <c r="I337" s="2">
        <v>12</v>
      </c>
      <c r="J337" s="2">
        <v>12</v>
      </c>
      <c r="K337" s="2">
        <f t="shared" ca="1" si="40"/>
        <v>20</v>
      </c>
      <c r="L337" s="2">
        <v>2</v>
      </c>
      <c r="M337" s="2">
        <v>0</v>
      </c>
      <c r="N337" s="2">
        <v>10</v>
      </c>
      <c r="O337" s="2">
        <f t="shared" ca="1" si="41"/>
        <v>0.1</v>
      </c>
      <c r="P337" s="2">
        <f t="shared" ca="1" si="42"/>
        <v>50.625</v>
      </c>
      <c r="Q337" s="2">
        <v>1.4141999999999999</v>
      </c>
      <c r="R337" s="2">
        <f t="shared" si="43"/>
        <v>58.838749999999997</v>
      </c>
      <c r="S337" s="2">
        <v>2</v>
      </c>
      <c r="T337" s="2">
        <v>3</v>
      </c>
      <c r="U337" s="2">
        <v>4</v>
      </c>
      <c r="V337" s="2">
        <f t="shared" si="44"/>
        <v>2.8284271247461903</v>
      </c>
      <c r="W337" s="2">
        <v>2</v>
      </c>
      <c r="X337" s="2">
        <f t="shared" si="45"/>
        <v>2.4494897427831779</v>
      </c>
      <c r="Y337" s="2">
        <v>4</v>
      </c>
      <c r="Z337" s="2">
        <f t="shared" si="46"/>
        <v>2.8284271247461903</v>
      </c>
      <c r="AA337" s="2">
        <f t="shared" si="47"/>
        <v>2</v>
      </c>
      <c r="AB337" s="2">
        <v>3.4641000000000002</v>
      </c>
      <c r="AC337" s="2">
        <v>2</v>
      </c>
      <c r="AD337" s="2">
        <v>0</v>
      </c>
      <c r="AE337" s="2">
        <v>0</v>
      </c>
      <c r="AF337" s="2">
        <v>1</v>
      </c>
      <c r="AG337" s="2">
        <v>2</v>
      </c>
    </row>
    <row r="338" spans="1:33" x14ac:dyDescent="0.3">
      <c r="A338" s="2" t="s">
        <v>35</v>
      </c>
      <c r="B338" s="2" t="s">
        <v>947</v>
      </c>
      <c r="C338" s="2" t="s">
        <v>227</v>
      </c>
      <c r="D338" s="2" t="s">
        <v>948</v>
      </c>
      <c r="E338" s="2">
        <v>2000</v>
      </c>
      <c r="F338" s="2">
        <v>23</v>
      </c>
      <c r="G338" s="2">
        <v>2</v>
      </c>
      <c r="H338" s="2">
        <v>8</v>
      </c>
      <c r="I338" s="2">
        <v>4</v>
      </c>
      <c r="J338" s="2">
        <v>8</v>
      </c>
      <c r="K338" s="2">
        <f t="shared" ca="1" si="40"/>
        <v>26</v>
      </c>
      <c r="L338" s="2">
        <v>4</v>
      </c>
      <c r="M338" s="2">
        <v>3</v>
      </c>
      <c r="N338" s="2">
        <v>81</v>
      </c>
      <c r="O338" s="2">
        <f t="shared" ca="1" si="41"/>
        <v>0.15384615384615385</v>
      </c>
      <c r="P338" s="2">
        <f t="shared" ca="1" si="42"/>
        <v>34.581939799331103</v>
      </c>
      <c r="Q338" s="2">
        <v>3.6699000000000002</v>
      </c>
      <c r="R338" s="2">
        <f t="shared" si="43"/>
        <v>49.869130434782605</v>
      </c>
      <c r="S338" s="2">
        <v>4</v>
      </c>
      <c r="T338" s="2">
        <v>8</v>
      </c>
      <c r="U338" s="2">
        <v>17.25</v>
      </c>
      <c r="V338" s="2">
        <f t="shared" si="44"/>
        <v>8.3066238629180749</v>
      </c>
      <c r="W338" s="2">
        <v>3</v>
      </c>
      <c r="X338" s="2">
        <f t="shared" si="45"/>
        <v>5.6568542494923806</v>
      </c>
      <c r="Y338" s="2">
        <v>18.5</v>
      </c>
      <c r="Z338" s="2">
        <f t="shared" si="46"/>
        <v>8.6023252670426267</v>
      </c>
      <c r="AA338" s="2">
        <f t="shared" si="47"/>
        <v>7.2801098892805181</v>
      </c>
      <c r="AB338" s="2">
        <v>12</v>
      </c>
      <c r="AC338" s="2">
        <v>3</v>
      </c>
      <c r="AD338" s="2">
        <v>1</v>
      </c>
      <c r="AE338" s="2">
        <v>2</v>
      </c>
      <c r="AF338" s="2">
        <v>3</v>
      </c>
      <c r="AG338" s="2">
        <v>1</v>
      </c>
    </row>
    <row r="339" spans="1:33" x14ac:dyDescent="0.3">
      <c r="A339" s="2" t="s">
        <v>35</v>
      </c>
      <c r="B339" s="2" t="s">
        <v>950</v>
      </c>
      <c r="C339" s="2" t="s">
        <v>91</v>
      </c>
      <c r="D339" s="2" t="s">
        <v>951</v>
      </c>
      <c r="E339" s="2">
        <v>2012</v>
      </c>
      <c r="F339" s="2">
        <v>23</v>
      </c>
      <c r="G339" s="2">
        <v>11</v>
      </c>
      <c r="H339" s="2">
        <v>12</v>
      </c>
      <c r="I339" s="2">
        <v>4</v>
      </c>
      <c r="J339" s="2">
        <v>12</v>
      </c>
      <c r="K339" s="2">
        <f t="shared" ca="1" si="40"/>
        <v>14</v>
      </c>
      <c r="L339" s="2">
        <v>8</v>
      </c>
      <c r="M339" s="2">
        <v>7</v>
      </c>
      <c r="N339" s="2">
        <v>162</v>
      </c>
      <c r="O339" s="2">
        <f t="shared" ca="1" si="41"/>
        <v>0.5714285714285714</v>
      </c>
      <c r="P339" s="2">
        <f t="shared" ca="1" si="42"/>
        <v>58.571428571428569</v>
      </c>
      <c r="Q339" s="2">
        <v>4.4819000000000004</v>
      </c>
      <c r="R339" s="2">
        <f t="shared" si="43"/>
        <v>75.573478260869564</v>
      </c>
      <c r="S339" s="2">
        <v>8</v>
      </c>
      <c r="T339" s="2">
        <v>12</v>
      </c>
      <c r="U339" s="2">
        <v>17.5</v>
      </c>
      <c r="V339" s="2">
        <f t="shared" si="44"/>
        <v>11.832159566199232</v>
      </c>
      <c r="W339" s="2">
        <v>4</v>
      </c>
      <c r="X339" s="2">
        <f t="shared" si="45"/>
        <v>9.7979589711327115</v>
      </c>
      <c r="Y339" s="2">
        <v>16.5</v>
      </c>
      <c r="Z339" s="2">
        <f t="shared" si="46"/>
        <v>11.489125293076057</v>
      </c>
      <c r="AA339" s="2">
        <f t="shared" si="47"/>
        <v>8.717797887081348</v>
      </c>
      <c r="AB339" s="2">
        <v>22.825399999999998</v>
      </c>
      <c r="AC339" s="2">
        <v>5</v>
      </c>
      <c r="AD339" s="2">
        <v>4</v>
      </c>
      <c r="AE339" s="2">
        <v>1</v>
      </c>
      <c r="AF339" s="2">
        <v>4</v>
      </c>
      <c r="AG339" s="2">
        <v>2</v>
      </c>
    </row>
    <row r="340" spans="1:33" x14ac:dyDescent="0.3">
      <c r="A340" s="2" t="s">
        <v>35</v>
      </c>
      <c r="B340" s="2" t="s">
        <v>953</v>
      </c>
      <c r="C340" s="2" t="s">
        <v>67</v>
      </c>
      <c r="D340" s="2" t="s">
        <v>954</v>
      </c>
      <c r="E340" s="2">
        <v>1995</v>
      </c>
      <c r="F340" s="2">
        <v>97</v>
      </c>
      <c r="G340" s="2">
        <v>52</v>
      </c>
      <c r="H340" s="2">
        <v>13</v>
      </c>
      <c r="I340" s="2">
        <v>7</v>
      </c>
      <c r="J340" s="2">
        <v>18</v>
      </c>
      <c r="K340" s="2">
        <f t="shared" ca="1" si="40"/>
        <v>31</v>
      </c>
      <c r="L340" s="2">
        <v>26</v>
      </c>
      <c r="M340" s="2">
        <v>54</v>
      </c>
      <c r="N340" s="2">
        <v>5323</v>
      </c>
      <c r="O340" s="2">
        <f t="shared" ca="1" si="41"/>
        <v>0.83870967741935487</v>
      </c>
      <c r="P340" s="2">
        <f t="shared" ca="1" si="42"/>
        <v>31.586298636514798</v>
      </c>
      <c r="Q340" s="2">
        <v>20.736499999999999</v>
      </c>
      <c r="R340" s="2">
        <f t="shared" si="43"/>
        <v>52.099484536082471</v>
      </c>
      <c r="S340" s="2">
        <v>26</v>
      </c>
      <c r="T340" s="2">
        <v>72</v>
      </c>
      <c r="U340" s="2">
        <v>183.23079999999999</v>
      </c>
      <c r="V340" s="2">
        <f t="shared" si="44"/>
        <v>69.021741502225225</v>
      </c>
      <c r="W340" s="2">
        <v>8</v>
      </c>
      <c r="X340" s="2">
        <f t="shared" si="45"/>
        <v>43.266615305567875</v>
      </c>
      <c r="Y340" s="2">
        <v>54</v>
      </c>
      <c r="Z340" s="2">
        <f t="shared" si="46"/>
        <v>37.469987990390386</v>
      </c>
      <c r="AA340" s="2">
        <f t="shared" si="47"/>
        <v>63.937475708695288</v>
      </c>
      <c r="AB340" s="2">
        <v>143.6593</v>
      </c>
      <c r="AC340" s="2">
        <v>15</v>
      </c>
      <c r="AD340" s="2">
        <v>6</v>
      </c>
      <c r="AE340" s="2">
        <v>7</v>
      </c>
      <c r="AF340" s="2">
        <v>23</v>
      </c>
      <c r="AG340" s="2">
        <v>6</v>
      </c>
    </row>
    <row r="341" spans="1:33" x14ac:dyDescent="0.3">
      <c r="A341" s="2" t="s">
        <v>35</v>
      </c>
      <c r="B341" s="2" t="s">
        <v>956</v>
      </c>
      <c r="C341" s="2" t="s">
        <v>81</v>
      </c>
      <c r="D341" s="2" t="s">
        <v>957</v>
      </c>
      <c r="E341" s="2">
        <v>2013</v>
      </c>
      <c r="F341" s="2">
        <v>36</v>
      </c>
      <c r="G341" s="2">
        <v>5</v>
      </c>
      <c r="H341" s="2">
        <v>5</v>
      </c>
      <c r="I341" s="2">
        <v>14</v>
      </c>
      <c r="J341" s="2">
        <v>17</v>
      </c>
      <c r="K341" s="2">
        <f t="shared" ca="1" si="40"/>
        <v>13</v>
      </c>
      <c r="L341" s="2">
        <v>9</v>
      </c>
      <c r="M341" s="2">
        <v>9</v>
      </c>
      <c r="N341" s="2">
        <v>241</v>
      </c>
      <c r="O341" s="2">
        <f t="shared" ca="1" si="41"/>
        <v>0.69230769230769229</v>
      </c>
      <c r="P341" s="2">
        <f t="shared" ca="1" si="42"/>
        <v>49.145299145299148</v>
      </c>
      <c r="Q341" s="2">
        <v>4.8507999999999996</v>
      </c>
      <c r="R341" s="2">
        <f t="shared" si="43"/>
        <v>60.696666666666665</v>
      </c>
      <c r="S341" s="2">
        <v>9</v>
      </c>
      <c r="T341" s="2">
        <v>14</v>
      </c>
      <c r="U341" s="2">
        <v>20.1111</v>
      </c>
      <c r="V341" s="2">
        <f t="shared" si="44"/>
        <v>13.453620330602465</v>
      </c>
      <c r="W341" s="2">
        <v>4</v>
      </c>
      <c r="X341" s="2">
        <f t="shared" si="45"/>
        <v>11.224972160321824</v>
      </c>
      <c r="Y341" s="2">
        <v>18</v>
      </c>
      <c r="Z341" s="2">
        <f t="shared" si="46"/>
        <v>12.727922061357855</v>
      </c>
      <c r="AA341" s="2">
        <f t="shared" si="47"/>
        <v>9.9999949999987496</v>
      </c>
      <c r="AB341" s="2">
        <v>25.980799999999999</v>
      </c>
      <c r="AC341" s="2">
        <v>7</v>
      </c>
      <c r="AD341" s="2">
        <v>2</v>
      </c>
      <c r="AE341" s="2">
        <v>0</v>
      </c>
      <c r="AF341" s="2">
        <v>5</v>
      </c>
      <c r="AG341" s="2">
        <v>6</v>
      </c>
    </row>
    <row r="342" spans="1:33" x14ac:dyDescent="0.3">
      <c r="A342" s="2" t="s">
        <v>35</v>
      </c>
      <c r="B342" s="2" t="s">
        <v>959</v>
      </c>
      <c r="C342" s="2" t="s">
        <v>51</v>
      </c>
      <c r="D342" s="2" t="s">
        <v>960</v>
      </c>
      <c r="E342" s="2">
        <v>1985</v>
      </c>
      <c r="F342" s="2">
        <v>137</v>
      </c>
      <c r="G342" s="2">
        <v>80</v>
      </c>
      <c r="H342" s="2">
        <v>7</v>
      </c>
      <c r="I342" s="2">
        <v>26</v>
      </c>
      <c r="J342" s="2">
        <v>30</v>
      </c>
      <c r="K342" s="2">
        <f t="shared" ca="1" si="40"/>
        <v>41</v>
      </c>
      <c r="L342" s="2">
        <v>33</v>
      </c>
      <c r="M342" s="2">
        <v>75</v>
      </c>
      <c r="N342" s="2">
        <v>4089</v>
      </c>
      <c r="O342" s="2">
        <f t="shared" ca="1" si="41"/>
        <v>0.80487804878048785</v>
      </c>
      <c r="P342" s="2">
        <f t="shared" ca="1" si="42"/>
        <v>29.784582517358022</v>
      </c>
      <c r="Q342" s="2">
        <v>13.309100000000001</v>
      </c>
      <c r="R342" s="2">
        <f t="shared" si="43"/>
        <v>38.911751824817522</v>
      </c>
      <c r="S342" s="2">
        <v>33</v>
      </c>
      <c r="T342" s="2">
        <v>60</v>
      </c>
      <c r="U342" s="2">
        <v>93.151499999999999</v>
      </c>
      <c r="V342" s="2">
        <f t="shared" si="44"/>
        <v>55.443660593434842</v>
      </c>
      <c r="W342" s="2">
        <v>9</v>
      </c>
      <c r="X342" s="2">
        <f t="shared" si="45"/>
        <v>44.497190922573978</v>
      </c>
      <c r="Y342" s="2">
        <v>63</v>
      </c>
      <c r="Z342" s="2">
        <f t="shared" si="46"/>
        <v>45.596052460711988</v>
      </c>
      <c r="AA342" s="2">
        <f t="shared" si="47"/>
        <v>44.553333208638833</v>
      </c>
      <c r="AB342" s="2">
        <v>179.88890000000001</v>
      </c>
      <c r="AC342" s="2">
        <v>16</v>
      </c>
      <c r="AD342" s="2">
        <v>3</v>
      </c>
      <c r="AE342" s="2">
        <v>6</v>
      </c>
      <c r="AF342" s="2">
        <v>28</v>
      </c>
      <c r="AG342" s="2">
        <v>12</v>
      </c>
    </row>
    <row r="343" spans="1:33" x14ac:dyDescent="0.3">
      <c r="A343" s="2" t="s">
        <v>35</v>
      </c>
      <c r="B343" s="2" t="s">
        <v>962</v>
      </c>
      <c r="C343" s="2" t="s">
        <v>91</v>
      </c>
      <c r="D343" s="2" t="s">
        <v>963</v>
      </c>
      <c r="E343" s="2">
        <v>2021</v>
      </c>
      <c r="F343" s="2">
        <v>9</v>
      </c>
      <c r="G343" s="2">
        <v>2</v>
      </c>
      <c r="H343" s="2">
        <v>6</v>
      </c>
      <c r="I343" s="2">
        <v>0</v>
      </c>
      <c r="J343" s="2">
        <v>6</v>
      </c>
      <c r="K343" s="2">
        <f t="shared" ca="1" si="40"/>
        <v>5</v>
      </c>
      <c r="L343" s="2">
        <v>4</v>
      </c>
      <c r="M343" s="2">
        <v>0</v>
      </c>
      <c r="N343" s="2">
        <v>32</v>
      </c>
      <c r="O343" s="2">
        <f t="shared" ca="1" si="41"/>
        <v>0.8</v>
      </c>
      <c r="P343" s="2">
        <f t="shared" ca="1" si="42"/>
        <v>84.444444444444443</v>
      </c>
      <c r="Q343" s="2">
        <v>2.9580000000000002</v>
      </c>
      <c r="R343" s="2">
        <f t="shared" si="43"/>
        <v>108.4222222222222</v>
      </c>
      <c r="S343" s="2">
        <v>4</v>
      </c>
      <c r="T343" s="2">
        <v>5</v>
      </c>
      <c r="U343" s="2">
        <v>6.25</v>
      </c>
      <c r="V343" s="2">
        <f t="shared" si="44"/>
        <v>5</v>
      </c>
      <c r="W343" s="2">
        <v>2</v>
      </c>
      <c r="X343" s="2">
        <f t="shared" si="45"/>
        <v>4.4721359549995796</v>
      </c>
      <c r="Y343" s="2">
        <v>6.5</v>
      </c>
      <c r="Z343" s="2">
        <f t="shared" si="46"/>
        <v>5.0990195135927845</v>
      </c>
      <c r="AA343" s="2">
        <f t="shared" si="47"/>
        <v>3</v>
      </c>
      <c r="AB343" s="2">
        <v>7.4832999999999998</v>
      </c>
      <c r="AC343" s="2">
        <v>3</v>
      </c>
      <c r="AD343" s="2">
        <v>3</v>
      </c>
      <c r="AE343" s="2">
        <v>0</v>
      </c>
      <c r="AF343" s="2">
        <v>2</v>
      </c>
      <c r="AG343" s="2">
        <v>0</v>
      </c>
    </row>
    <row r="344" spans="1:33" x14ac:dyDescent="0.3">
      <c r="A344" s="2" t="s">
        <v>35</v>
      </c>
      <c r="B344" s="2" t="s">
        <v>965</v>
      </c>
      <c r="C344" s="2" t="s">
        <v>109</v>
      </c>
      <c r="D344" s="2" t="s">
        <v>966</v>
      </c>
      <c r="E344" s="2">
        <v>1997</v>
      </c>
      <c r="F344" s="2">
        <v>114</v>
      </c>
      <c r="G344" s="2">
        <v>6</v>
      </c>
      <c r="H344" s="2">
        <v>39</v>
      </c>
      <c r="I344" s="2">
        <v>14</v>
      </c>
      <c r="J344" s="2">
        <v>48</v>
      </c>
      <c r="K344" s="2">
        <f t="shared" ca="1" si="40"/>
        <v>29</v>
      </c>
      <c r="L344" s="2">
        <v>23</v>
      </c>
      <c r="M344" s="2">
        <v>46</v>
      </c>
      <c r="N344" s="2">
        <v>1555</v>
      </c>
      <c r="O344" s="2">
        <f t="shared" ca="1" si="41"/>
        <v>0.7931034482758621</v>
      </c>
      <c r="P344" s="2">
        <f t="shared" ca="1" si="42"/>
        <v>41.397459165154267</v>
      </c>
      <c r="Q344" s="2">
        <v>8.3703000000000003</v>
      </c>
      <c r="R344" s="2">
        <f t="shared" si="43"/>
        <v>48.044122807017537</v>
      </c>
      <c r="S344" s="2">
        <v>23</v>
      </c>
      <c r="T344" s="2">
        <v>35</v>
      </c>
      <c r="U344" s="2">
        <v>43.217399999999998</v>
      </c>
      <c r="V344" s="2">
        <f t="shared" si="44"/>
        <v>31.527768712676131</v>
      </c>
      <c r="W344" s="2">
        <v>6</v>
      </c>
      <c r="X344" s="2">
        <f t="shared" si="45"/>
        <v>28.372521918222215</v>
      </c>
      <c r="Y344" s="2">
        <v>30</v>
      </c>
      <c r="Z344" s="2">
        <f t="shared" si="46"/>
        <v>26.267851073127396</v>
      </c>
      <c r="AA344" s="2">
        <f t="shared" si="47"/>
        <v>21.563863290236281</v>
      </c>
      <c r="AB344" s="2">
        <v>90.564899999999994</v>
      </c>
      <c r="AC344" s="2">
        <v>19</v>
      </c>
      <c r="AD344" s="2">
        <v>18</v>
      </c>
      <c r="AE344" s="2">
        <v>12</v>
      </c>
      <c r="AF344" s="2">
        <v>6</v>
      </c>
      <c r="AG344" s="2">
        <v>6</v>
      </c>
    </row>
    <row r="345" spans="1:33" x14ac:dyDescent="0.3">
      <c r="A345" s="2" t="s">
        <v>35</v>
      </c>
      <c r="B345" s="2" t="s">
        <v>968</v>
      </c>
      <c r="C345" s="2" t="s">
        <v>43</v>
      </c>
      <c r="D345" s="2" t="s">
        <v>969</v>
      </c>
      <c r="E345" s="2">
        <v>1998</v>
      </c>
      <c r="F345" s="2">
        <v>17</v>
      </c>
      <c r="G345" s="2">
        <v>1</v>
      </c>
      <c r="H345" s="2">
        <v>16</v>
      </c>
      <c r="I345" s="2">
        <v>14</v>
      </c>
      <c r="J345" s="2">
        <v>16</v>
      </c>
      <c r="K345" s="2">
        <f t="shared" ca="1" si="40"/>
        <v>28</v>
      </c>
      <c r="L345" s="2">
        <v>2</v>
      </c>
      <c r="M345" s="2">
        <v>1</v>
      </c>
      <c r="N345" s="2">
        <v>16</v>
      </c>
      <c r="O345" s="2">
        <f t="shared" ca="1" si="41"/>
        <v>7.1428571428571425E-2</v>
      </c>
      <c r="P345" s="2">
        <f t="shared" ca="1" si="42"/>
        <v>58.655462184873954</v>
      </c>
      <c r="Q345" s="2">
        <v>0.93410000000000004</v>
      </c>
      <c r="R345" s="2">
        <f t="shared" si="43"/>
        <v>63.730000000000011</v>
      </c>
      <c r="S345" s="2">
        <v>2</v>
      </c>
      <c r="T345" s="2">
        <v>4</v>
      </c>
      <c r="U345" s="2">
        <v>7.5</v>
      </c>
      <c r="V345" s="2">
        <f t="shared" si="44"/>
        <v>3.872983346207417</v>
      </c>
      <c r="W345" s="2">
        <v>1</v>
      </c>
      <c r="X345" s="2">
        <f t="shared" si="45"/>
        <v>2.8284271247461903</v>
      </c>
      <c r="Y345" s="2">
        <v>7.5</v>
      </c>
      <c r="Z345" s="2">
        <f t="shared" si="46"/>
        <v>3.872983346207417</v>
      </c>
      <c r="AA345" s="2">
        <f t="shared" si="47"/>
        <v>3.3166247903553998</v>
      </c>
      <c r="AB345" s="2">
        <v>4.2426000000000004</v>
      </c>
      <c r="AC345" s="2">
        <v>2</v>
      </c>
      <c r="AD345" s="2">
        <v>1</v>
      </c>
      <c r="AE345" s="2">
        <v>0</v>
      </c>
      <c r="AF345" s="2">
        <v>0</v>
      </c>
      <c r="AG345" s="2">
        <v>1</v>
      </c>
    </row>
    <row r="346" spans="1:33" x14ac:dyDescent="0.3">
      <c r="A346" s="2" t="s">
        <v>35</v>
      </c>
      <c r="B346" s="2" t="s">
        <v>971</v>
      </c>
      <c r="C346" s="2" t="s">
        <v>43</v>
      </c>
      <c r="D346" s="2" t="s">
        <v>972</v>
      </c>
      <c r="E346" s="2">
        <v>2007</v>
      </c>
      <c r="F346" s="2">
        <v>4</v>
      </c>
      <c r="G346" s="2">
        <v>0</v>
      </c>
      <c r="H346" s="2">
        <v>4</v>
      </c>
      <c r="I346" s="2">
        <v>4</v>
      </c>
      <c r="J346" s="2">
        <v>4</v>
      </c>
      <c r="K346" s="2">
        <f t="shared" ca="1" si="40"/>
        <v>19</v>
      </c>
      <c r="L346" s="2">
        <v>1</v>
      </c>
      <c r="M346" s="2">
        <v>0</v>
      </c>
      <c r="N346" s="2">
        <v>4</v>
      </c>
      <c r="O346" s="2">
        <f t="shared" ca="1" si="41"/>
        <v>5.2631578947368418E-2</v>
      </c>
      <c r="P346" s="2">
        <f t="shared" ca="1" si="42"/>
        <v>76.31578947368422</v>
      </c>
      <c r="Q346" s="2">
        <v>0.54769999999999996</v>
      </c>
      <c r="R346" s="2">
        <f t="shared" si="43"/>
        <v>88.692499999999995</v>
      </c>
      <c r="S346" s="2">
        <v>1</v>
      </c>
      <c r="T346" s="2">
        <v>2</v>
      </c>
      <c r="U346" s="2">
        <v>3</v>
      </c>
      <c r="V346" s="2">
        <f t="shared" si="44"/>
        <v>1.7320508075688772</v>
      </c>
      <c r="W346" s="2">
        <v>1</v>
      </c>
      <c r="X346" s="2">
        <f t="shared" si="45"/>
        <v>1.4142135623730951</v>
      </c>
      <c r="Y346" s="2">
        <v>3</v>
      </c>
      <c r="Z346" s="2">
        <f t="shared" si="46"/>
        <v>1.7320508075688772</v>
      </c>
      <c r="AA346" s="2">
        <f t="shared" si="47"/>
        <v>1.4142135623730951</v>
      </c>
      <c r="AB346" s="2">
        <v>1.7321</v>
      </c>
      <c r="AC346" s="2">
        <v>1</v>
      </c>
      <c r="AD346" s="2">
        <v>0</v>
      </c>
      <c r="AE346" s="2">
        <v>0</v>
      </c>
      <c r="AF346" s="2">
        <v>0</v>
      </c>
      <c r="AG346" s="2">
        <v>1</v>
      </c>
    </row>
    <row r="347" spans="1:33" x14ac:dyDescent="0.3">
      <c r="A347" s="2" t="s">
        <v>35</v>
      </c>
      <c r="B347" s="2" t="s">
        <v>974</v>
      </c>
      <c r="C347" s="2" t="s">
        <v>109</v>
      </c>
      <c r="D347" s="2" t="s">
        <v>975</v>
      </c>
      <c r="E347" s="2">
        <v>2008</v>
      </c>
      <c r="F347" s="2">
        <v>27</v>
      </c>
      <c r="G347" s="2">
        <v>1</v>
      </c>
      <c r="H347" s="2">
        <v>5</v>
      </c>
      <c r="I347" s="2">
        <v>6</v>
      </c>
      <c r="J347" s="2">
        <v>8</v>
      </c>
      <c r="K347" s="2">
        <f t="shared" ca="1" si="40"/>
        <v>18</v>
      </c>
      <c r="L347" s="2">
        <v>5</v>
      </c>
      <c r="M347" s="2">
        <v>3</v>
      </c>
      <c r="N347" s="2">
        <v>101</v>
      </c>
      <c r="O347" s="2">
        <f t="shared" ca="1" si="41"/>
        <v>0.27777777777777779</v>
      </c>
      <c r="P347" s="2">
        <f t="shared" ca="1" si="42"/>
        <v>33.991769547325106</v>
      </c>
      <c r="Q347" s="2">
        <v>3.0697000000000001</v>
      </c>
      <c r="R347" s="2">
        <f t="shared" si="43"/>
        <v>44.332222222222221</v>
      </c>
      <c r="S347" s="2">
        <v>5</v>
      </c>
      <c r="T347" s="2">
        <v>9</v>
      </c>
      <c r="U347" s="2">
        <v>13.6</v>
      </c>
      <c r="V347" s="2">
        <f t="shared" si="44"/>
        <v>8.2462112512353212</v>
      </c>
      <c r="W347" s="2">
        <v>3</v>
      </c>
      <c r="X347" s="2">
        <f t="shared" si="45"/>
        <v>6.7082039324993694</v>
      </c>
      <c r="Y347" s="2">
        <v>11</v>
      </c>
      <c r="Z347" s="2">
        <f t="shared" si="46"/>
        <v>7.416198487095663</v>
      </c>
      <c r="AA347" s="2">
        <f t="shared" si="47"/>
        <v>6.5574385243020004</v>
      </c>
      <c r="AB347" s="2">
        <v>12.688599999999999</v>
      </c>
      <c r="AC347" s="2">
        <v>4</v>
      </c>
      <c r="AD347" s="2">
        <v>1</v>
      </c>
      <c r="AE347" s="2">
        <v>4</v>
      </c>
      <c r="AF347" s="2">
        <v>3</v>
      </c>
      <c r="AG347" s="2">
        <v>2</v>
      </c>
    </row>
    <row r="348" spans="1:33" x14ac:dyDescent="0.3">
      <c r="A348" s="2" t="s">
        <v>35</v>
      </c>
      <c r="B348" s="2" t="s">
        <v>977</v>
      </c>
      <c r="C348" s="2" t="s">
        <v>43</v>
      </c>
      <c r="D348" s="2" t="s">
        <v>978</v>
      </c>
      <c r="E348" s="2">
        <v>2012</v>
      </c>
      <c r="F348" s="2">
        <v>6</v>
      </c>
      <c r="G348" s="2">
        <v>0</v>
      </c>
      <c r="H348" s="2">
        <v>6</v>
      </c>
      <c r="I348" s="2">
        <v>6</v>
      </c>
      <c r="J348" s="2">
        <v>6</v>
      </c>
      <c r="K348" s="2">
        <f t="shared" ca="1" si="40"/>
        <v>14</v>
      </c>
      <c r="L348" s="2">
        <v>1</v>
      </c>
      <c r="M348" s="2">
        <v>0</v>
      </c>
      <c r="N348" s="2">
        <v>2</v>
      </c>
      <c r="O348" s="2">
        <f t="shared" ca="1" si="41"/>
        <v>7.1428571428571425E-2</v>
      </c>
      <c r="P348" s="2">
        <f t="shared" ca="1" si="42"/>
        <v>67.857142857142861</v>
      </c>
      <c r="Q348" s="2">
        <v>0.378</v>
      </c>
      <c r="R348" s="2">
        <f t="shared" si="43"/>
        <v>72.966666666666669</v>
      </c>
      <c r="S348" s="2">
        <v>1</v>
      </c>
      <c r="T348" s="2">
        <v>1</v>
      </c>
      <c r="U348" s="2">
        <v>1</v>
      </c>
      <c r="V348" s="2">
        <f t="shared" si="44"/>
        <v>1</v>
      </c>
      <c r="W348" s="2">
        <v>1</v>
      </c>
      <c r="X348" s="2">
        <f t="shared" si="45"/>
        <v>1</v>
      </c>
      <c r="Y348" s="2">
        <v>1</v>
      </c>
      <c r="Z348" s="2">
        <f t="shared" si="46"/>
        <v>1</v>
      </c>
      <c r="AA348" s="2">
        <f t="shared" si="47"/>
        <v>0</v>
      </c>
      <c r="AB348" s="2">
        <v>1</v>
      </c>
      <c r="AC348" s="2">
        <v>1</v>
      </c>
      <c r="AD348" s="2">
        <v>0</v>
      </c>
      <c r="AE348" s="2">
        <v>0</v>
      </c>
      <c r="AF348" s="2">
        <v>0</v>
      </c>
      <c r="AG348" s="2">
        <v>1</v>
      </c>
    </row>
    <row r="349" spans="1:33" x14ac:dyDescent="0.3">
      <c r="A349" s="2" t="s">
        <v>35</v>
      </c>
      <c r="B349" s="2" t="s">
        <v>980</v>
      </c>
      <c r="C349" s="2" t="s">
        <v>91</v>
      </c>
      <c r="D349" s="2" t="s">
        <v>981</v>
      </c>
      <c r="E349" s="2">
        <v>2003</v>
      </c>
      <c r="F349" s="2">
        <v>23</v>
      </c>
      <c r="G349" s="2">
        <v>7</v>
      </c>
      <c r="H349" s="2">
        <v>8</v>
      </c>
      <c r="I349" s="2">
        <v>2</v>
      </c>
      <c r="J349" s="2">
        <v>8</v>
      </c>
      <c r="K349" s="2">
        <f t="shared" ca="1" si="40"/>
        <v>23</v>
      </c>
      <c r="L349" s="2">
        <v>2</v>
      </c>
      <c r="M349" s="2">
        <v>1</v>
      </c>
      <c r="N349" s="2">
        <v>32</v>
      </c>
      <c r="O349" s="2">
        <f t="shared" ca="1" si="41"/>
        <v>8.6956521739130432E-2</v>
      </c>
      <c r="P349" s="2">
        <f t="shared" ca="1" si="42"/>
        <v>23.421550094517958</v>
      </c>
      <c r="Q349" s="2">
        <v>2.8283999999999998</v>
      </c>
      <c r="R349" s="2">
        <f t="shared" si="43"/>
        <v>35.340869565217389</v>
      </c>
      <c r="S349" s="2">
        <v>2</v>
      </c>
      <c r="T349" s="2">
        <v>5</v>
      </c>
      <c r="U349" s="2">
        <v>12</v>
      </c>
      <c r="V349" s="2">
        <f t="shared" si="44"/>
        <v>4.8989794855663558</v>
      </c>
      <c r="W349" s="2">
        <v>2</v>
      </c>
      <c r="X349" s="2">
        <f t="shared" si="45"/>
        <v>3.1622776601683795</v>
      </c>
      <c r="Y349" s="2">
        <v>12</v>
      </c>
      <c r="Z349" s="2">
        <f t="shared" si="46"/>
        <v>4.8989794855663558</v>
      </c>
      <c r="AA349" s="2">
        <f t="shared" si="47"/>
        <v>4.4721359549995796</v>
      </c>
      <c r="AB349" s="2">
        <v>5.4771999999999998</v>
      </c>
      <c r="AC349" s="2">
        <v>1</v>
      </c>
      <c r="AD349" s="2">
        <v>2</v>
      </c>
      <c r="AE349" s="2">
        <v>0</v>
      </c>
      <c r="AF349" s="2">
        <v>2</v>
      </c>
      <c r="AG349" s="2">
        <v>0</v>
      </c>
    </row>
    <row r="350" spans="1:33" x14ac:dyDescent="0.3">
      <c r="A350" s="2" t="s">
        <v>35</v>
      </c>
      <c r="B350" s="2" t="s">
        <v>1142</v>
      </c>
      <c r="C350" s="2" t="s">
        <v>43</v>
      </c>
      <c r="D350" s="2" t="s">
        <v>1143</v>
      </c>
      <c r="E350" s="2">
        <v>2022</v>
      </c>
      <c r="F350" s="2">
        <v>17</v>
      </c>
      <c r="G350" s="2">
        <v>0</v>
      </c>
      <c r="H350" s="2">
        <v>17</v>
      </c>
      <c r="I350" s="2">
        <v>16</v>
      </c>
      <c r="J350" s="2">
        <v>17</v>
      </c>
      <c r="K350" s="2">
        <f t="shared" ca="1" si="40"/>
        <v>4</v>
      </c>
      <c r="L350" s="2">
        <v>0</v>
      </c>
      <c r="M350" s="2">
        <v>0</v>
      </c>
      <c r="N350" s="2">
        <v>0</v>
      </c>
      <c r="O350" s="2">
        <f t="shared" ca="1" si="41"/>
        <v>0</v>
      </c>
      <c r="P350" s="2">
        <f t="shared" ca="1" si="42"/>
        <v>50</v>
      </c>
      <c r="Q350" s="2">
        <v>0</v>
      </c>
      <c r="R350" s="2">
        <f t="shared" si="43"/>
        <v>50</v>
      </c>
      <c r="S350" s="2">
        <v>0</v>
      </c>
      <c r="T350" s="2">
        <v>0</v>
      </c>
      <c r="U350" s="2">
        <v>0</v>
      </c>
      <c r="V350" s="2">
        <f t="shared" si="44"/>
        <v>0</v>
      </c>
      <c r="W350" s="2">
        <v>0</v>
      </c>
      <c r="X350" s="2">
        <f t="shared" si="45"/>
        <v>0</v>
      </c>
      <c r="Y350" s="2">
        <v>0</v>
      </c>
      <c r="Z350" s="2">
        <f t="shared" si="46"/>
        <v>0</v>
      </c>
      <c r="AA350" s="2">
        <f t="shared" si="47"/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 x14ac:dyDescent="0.3">
      <c r="A351" s="2" t="s">
        <v>35</v>
      </c>
      <c r="B351" s="2" t="s">
        <v>1144</v>
      </c>
      <c r="C351" s="2" t="s">
        <v>99</v>
      </c>
      <c r="D351" s="2" t="s">
        <v>1145</v>
      </c>
      <c r="E351" s="2">
        <v>2026</v>
      </c>
      <c r="F351" s="2">
        <v>3</v>
      </c>
      <c r="G351" s="2">
        <v>3</v>
      </c>
      <c r="H351" s="2">
        <v>0</v>
      </c>
      <c r="I351" s="2">
        <v>0</v>
      </c>
      <c r="J351" s="2">
        <v>0</v>
      </c>
      <c r="K351" s="2">
        <f t="shared" ca="1" si="40"/>
        <v>1</v>
      </c>
      <c r="L351" s="2">
        <v>0</v>
      </c>
      <c r="M351" s="2">
        <v>0</v>
      </c>
      <c r="N351" s="2">
        <v>0</v>
      </c>
      <c r="O351" s="2">
        <f t="shared" ca="1" si="41"/>
        <v>0</v>
      </c>
      <c r="P351" s="2">
        <f t="shared" ca="1" si="42"/>
        <v>-10.000000000000002</v>
      </c>
      <c r="Q351" s="2">
        <v>0</v>
      </c>
      <c r="R351" s="2">
        <f t="shared" si="43"/>
        <v>-10.000000000000002</v>
      </c>
      <c r="S351" s="2">
        <v>0</v>
      </c>
      <c r="T351" s="2">
        <v>0</v>
      </c>
      <c r="U351" s="2">
        <v>0</v>
      </c>
      <c r="V351" s="2">
        <f t="shared" si="44"/>
        <v>0</v>
      </c>
      <c r="W351" s="2">
        <v>0</v>
      </c>
      <c r="X351" s="2">
        <f t="shared" si="45"/>
        <v>0</v>
      </c>
      <c r="Y351" s="2">
        <v>0</v>
      </c>
      <c r="Z351" s="2">
        <f t="shared" si="46"/>
        <v>0</v>
      </c>
      <c r="AA351" s="2">
        <f t="shared" si="47"/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 x14ac:dyDescent="0.3">
      <c r="A352" s="2" t="s">
        <v>35</v>
      </c>
      <c r="B352" s="2" t="s">
        <v>983</v>
      </c>
      <c r="C352" s="2" t="s">
        <v>187</v>
      </c>
      <c r="D352" s="2" t="s">
        <v>984</v>
      </c>
      <c r="E352" s="2">
        <v>1991</v>
      </c>
      <c r="F352" s="2">
        <v>205</v>
      </c>
      <c r="G352" s="2">
        <v>18</v>
      </c>
      <c r="H352" s="2">
        <v>57</v>
      </c>
      <c r="I352" s="2">
        <v>78</v>
      </c>
      <c r="J352" s="2">
        <v>95</v>
      </c>
      <c r="K352" s="2">
        <f t="shared" ca="1" si="40"/>
        <v>35</v>
      </c>
      <c r="L352" s="2">
        <v>35</v>
      </c>
      <c r="M352" s="2">
        <v>73</v>
      </c>
      <c r="N352" s="2">
        <v>4785</v>
      </c>
      <c r="O352" s="2">
        <f t="shared" ca="1" si="41"/>
        <v>1</v>
      </c>
      <c r="P352" s="2">
        <f t="shared" ca="1" si="42"/>
        <v>39.853658536585364</v>
      </c>
      <c r="Q352" s="2">
        <v>14.2037</v>
      </c>
      <c r="R352" s="2">
        <f t="shared" si="43"/>
        <v>46.294487804878045</v>
      </c>
      <c r="S352" s="2">
        <v>35</v>
      </c>
      <c r="T352" s="2">
        <v>66</v>
      </c>
      <c r="U352" s="2">
        <v>110.0286</v>
      </c>
      <c r="V352" s="2">
        <f t="shared" si="44"/>
        <v>62.05643399358361</v>
      </c>
      <c r="W352" s="2">
        <v>9</v>
      </c>
      <c r="X352" s="2">
        <f t="shared" si="45"/>
        <v>48.062459362791664</v>
      </c>
      <c r="Y352" s="2">
        <v>58</v>
      </c>
      <c r="Z352" s="2">
        <f t="shared" si="46"/>
        <v>45.055521304275238</v>
      </c>
      <c r="AA352" s="2">
        <f t="shared" si="47"/>
        <v>51.244521658417298</v>
      </c>
      <c r="AB352" s="2">
        <v>184.39359999999999</v>
      </c>
      <c r="AC352" s="2">
        <v>25</v>
      </c>
      <c r="AD352" s="2">
        <v>8</v>
      </c>
      <c r="AE352" s="2">
        <v>18</v>
      </c>
      <c r="AF352" s="2">
        <v>14</v>
      </c>
      <c r="AG352" s="2">
        <v>17</v>
      </c>
    </row>
    <row r="353" spans="1:33" x14ac:dyDescent="0.3">
      <c r="A353" s="2" t="s">
        <v>35</v>
      </c>
      <c r="B353" s="2" t="s">
        <v>1146</v>
      </c>
      <c r="C353" s="2" t="s">
        <v>51</v>
      </c>
      <c r="D353" s="2" t="s">
        <v>1147</v>
      </c>
      <c r="E353" s="2">
        <v>2025</v>
      </c>
      <c r="F353" s="2">
        <v>1</v>
      </c>
      <c r="G353" s="2">
        <v>0</v>
      </c>
      <c r="H353" s="2">
        <v>0</v>
      </c>
      <c r="I353" s="2">
        <v>0</v>
      </c>
      <c r="J353" s="2">
        <v>0</v>
      </c>
      <c r="K353" s="2">
        <f t="shared" ca="1" si="40"/>
        <v>1</v>
      </c>
      <c r="L353" s="2">
        <v>0</v>
      </c>
      <c r="M353" s="2">
        <v>0</v>
      </c>
      <c r="N353" s="2">
        <v>0</v>
      </c>
      <c r="O353" s="2">
        <f t="shared" ca="1" si="41"/>
        <v>0</v>
      </c>
      <c r="P353" s="2">
        <f t="shared" ca="1" si="42"/>
        <v>0</v>
      </c>
      <c r="Q353" s="2">
        <v>0</v>
      </c>
      <c r="R353" s="2">
        <f t="shared" si="43"/>
        <v>0</v>
      </c>
      <c r="S353" s="2">
        <v>0</v>
      </c>
      <c r="T353" s="2">
        <v>0</v>
      </c>
      <c r="U353" s="2">
        <v>0</v>
      </c>
      <c r="V353" s="2">
        <f t="shared" si="44"/>
        <v>0</v>
      </c>
      <c r="W353" s="2">
        <v>0</v>
      </c>
      <c r="X353" s="2">
        <f t="shared" si="45"/>
        <v>0</v>
      </c>
      <c r="Y353" s="2">
        <v>0</v>
      </c>
      <c r="Z353" s="2">
        <f t="shared" si="46"/>
        <v>0</v>
      </c>
      <c r="AA353" s="2">
        <f t="shared" si="47"/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 x14ac:dyDescent="0.3">
      <c r="A354" s="2" t="s">
        <v>35</v>
      </c>
      <c r="B354" s="2" t="s">
        <v>986</v>
      </c>
      <c r="C354" s="2" t="s">
        <v>43</v>
      </c>
      <c r="D354" s="2" t="s">
        <v>987</v>
      </c>
      <c r="E354" s="2">
        <v>2004</v>
      </c>
      <c r="F354" s="2">
        <v>26</v>
      </c>
      <c r="G354" s="2">
        <v>0</v>
      </c>
      <c r="H354" s="2">
        <v>19</v>
      </c>
      <c r="I354" s="2">
        <v>22</v>
      </c>
      <c r="J354" s="2">
        <v>22</v>
      </c>
      <c r="K354" s="2">
        <f t="shared" ca="1" si="40"/>
        <v>22</v>
      </c>
      <c r="L354" s="2">
        <v>4</v>
      </c>
      <c r="M354" s="2">
        <v>0</v>
      </c>
      <c r="N354" s="2">
        <v>34</v>
      </c>
      <c r="O354" s="2">
        <f t="shared" ca="1" si="41"/>
        <v>0.18181818181818182</v>
      </c>
      <c r="P354" s="2">
        <f t="shared" ca="1" si="42"/>
        <v>58.391608391608393</v>
      </c>
      <c r="Q354" s="2">
        <v>1.538</v>
      </c>
      <c r="R354" s="2">
        <f t="shared" si="43"/>
        <v>63.607692307692311</v>
      </c>
      <c r="S354" s="2">
        <v>4</v>
      </c>
      <c r="T354" s="2">
        <v>5</v>
      </c>
      <c r="U354" s="2">
        <v>5.5</v>
      </c>
      <c r="V354" s="2">
        <f t="shared" si="44"/>
        <v>4.6904157598234297</v>
      </c>
      <c r="W354" s="2">
        <v>2</v>
      </c>
      <c r="X354" s="2">
        <f t="shared" si="45"/>
        <v>4.4721359549995796</v>
      </c>
      <c r="Y354" s="2">
        <v>5</v>
      </c>
      <c r="Z354" s="2">
        <f t="shared" si="46"/>
        <v>4.4721359549995796</v>
      </c>
      <c r="AA354" s="2">
        <f t="shared" si="47"/>
        <v>2.4494897427831779</v>
      </c>
      <c r="AB354" s="2">
        <v>6.9282000000000004</v>
      </c>
      <c r="AC354" s="2">
        <v>4</v>
      </c>
      <c r="AD354" s="2">
        <v>0</v>
      </c>
      <c r="AE354" s="2">
        <v>1</v>
      </c>
      <c r="AF354" s="2">
        <v>0</v>
      </c>
      <c r="AG354" s="2">
        <v>4</v>
      </c>
    </row>
    <row r="355" spans="1:33" x14ac:dyDescent="0.3">
      <c r="A355" s="2" t="s">
        <v>35</v>
      </c>
      <c r="B355" s="2" t="s">
        <v>1148</v>
      </c>
      <c r="C355" s="2" t="s">
        <v>91</v>
      </c>
      <c r="D355" s="2" t="s">
        <v>1149</v>
      </c>
      <c r="E355" s="2">
        <v>2026</v>
      </c>
      <c r="F355" s="2">
        <v>1</v>
      </c>
      <c r="G355" s="2">
        <v>0</v>
      </c>
      <c r="H355" s="2">
        <v>0</v>
      </c>
      <c r="I355" s="2">
        <v>0</v>
      </c>
      <c r="J355" s="2">
        <v>0</v>
      </c>
      <c r="K355" s="2">
        <f t="shared" ca="1" si="40"/>
        <v>1</v>
      </c>
      <c r="L355" s="2">
        <v>0</v>
      </c>
      <c r="M355" s="2">
        <v>0</v>
      </c>
      <c r="N355" s="2">
        <v>0</v>
      </c>
      <c r="O355" s="2">
        <f t="shared" ca="1" si="41"/>
        <v>0</v>
      </c>
      <c r="P355" s="2">
        <f t="shared" ca="1" si="42"/>
        <v>0</v>
      </c>
      <c r="Q355" s="2">
        <v>0</v>
      </c>
      <c r="R355" s="2">
        <f t="shared" si="43"/>
        <v>0</v>
      </c>
      <c r="S355" s="2">
        <v>0</v>
      </c>
      <c r="T355" s="2">
        <v>0</v>
      </c>
      <c r="U355" s="2">
        <v>0</v>
      </c>
      <c r="V355" s="2">
        <f t="shared" si="44"/>
        <v>0</v>
      </c>
      <c r="W355" s="2">
        <v>0</v>
      </c>
      <c r="X355" s="2">
        <f t="shared" si="45"/>
        <v>0</v>
      </c>
      <c r="Y355" s="2">
        <v>0</v>
      </c>
      <c r="Z355" s="2">
        <f t="shared" si="46"/>
        <v>0</v>
      </c>
      <c r="AA355" s="2">
        <f t="shared" si="47"/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 x14ac:dyDescent="0.3">
      <c r="A356" s="2" t="s">
        <v>35</v>
      </c>
      <c r="B356" s="2" t="s">
        <v>989</v>
      </c>
      <c r="C356" s="2" t="s">
        <v>62</v>
      </c>
      <c r="D356" s="2" t="s">
        <v>990</v>
      </c>
      <c r="E356" s="2">
        <v>2017</v>
      </c>
      <c r="F356" s="2">
        <v>26</v>
      </c>
      <c r="G356" s="2">
        <v>1</v>
      </c>
      <c r="H356" s="2">
        <v>4</v>
      </c>
      <c r="I356" s="2">
        <v>2</v>
      </c>
      <c r="J356" s="2">
        <v>4</v>
      </c>
      <c r="K356" s="2">
        <f t="shared" ca="1" si="40"/>
        <v>9</v>
      </c>
      <c r="L356" s="2">
        <v>6</v>
      </c>
      <c r="M356" s="2">
        <v>3</v>
      </c>
      <c r="N356" s="2">
        <v>133</v>
      </c>
      <c r="O356" s="2">
        <f t="shared" ca="1" si="41"/>
        <v>0.66666666666666663</v>
      </c>
      <c r="P356" s="2">
        <f t="shared" ca="1" si="42"/>
        <v>32.948717948717949</v>
      </c>
      <c r="Q356" s="2">
        <v>4.2774000000000001</v>
      </c>
      <c r="R356" s="2">
        <f t="shared" si="43"/>
        <v>46.836153846153849</v>
      </c>
      <c r="S356" s="2">
        <v>6</v>
      </c>
      <c r="T356" s="2">
        <v>10</v>
      </c>
      <c r="U356" s="2">
        <v>16.166699999999999</v>
      </c>
      <c r="V356" s="2">
        <f t="shared" si="44"/>
        <v>9.8488679552525227</v>
      </c>
      <c r="W356" s="2">
        <v>3</v>
      </c>
      <c r="X356" s="2">
        <f t="shared" si="45"/>
        <v>7.745966692414834</v>
      </c>
      <c r="Y356" s="2">
        <v>12.5</v>
      </c>
      <c r="Z356" s="2">
        <f t="shared" si="46"/>
        <v>8.6602540378443873</v>
      </c>
      <c r="AA356" s="2">
        <f t="shared" si="47"/>
        <v>7.8102624795841527</v>
      </c>
      <c r="AB356" s="2">
        <v>15.165800000000001</v>
      </c>
      <c r="AC356" s="2">
        <v>4</v>
      </c>
      <c r="AD356" s="2">
        <v>2</v>
      </c>
      <c r="AE356" s="2">
        <v>3</v>
      </c>
      <c r="AF356" s="2">
        <v>4</v>
      </c>
      <c r="AG356" s="2">
        <v>1</v>
      </c>
    </row>
    <row r="357" spans="1:33" x14ac:dyDescent="0.3">
      <c r="A357" s="2" t="s">
        <v>35</v>
      </c>
      <c r="B357" s="2" t="s">
        <v>992</v>
      </c>
      <c r="C357" s="2" t="s">
        <v>993</v>
      </c>
      <c r="D357" s="2" t="s">
        <v>994</v>
      </c>
      <c r="E357" s="2">
        <v>1953</v>
      </c>
      <c r="F357" s="2">
        <v>141</v>
      </c>
      <c r="G357" s="2">
        <v>14</v>
      </c>
      <c r="H357" s="2">
        <v>75</v>
      </c>
      <c r="I357" s="2">
        <v>20</v>
      </c>
      <c r="J357" s="2">
        <v>75</v>
      </c>
      <c r="K357" s="2">
        <f t="shared" ca="1" si="40"/>
        <v>73</v>
      </c>
      <c r="L357" s="2">
        <v>12</v>
      </c>
      <c r="M357" s="2">
        <v>15</v>
      </c>
      <c r="N357" s="2">
        <v>661</v>
      </c>
      <c r="O357" s="2">
        <f t="shared" ca="1" si="41"/>
        <v>0.16438356164383561</v>
      </c>
      <c r="P357" s="2">
        <f t="shared" ca="1" si="42"/>
        <v>34.230059263577189</v>
      </c>
      <c r="Q357" s="2">
        <v>4.5613999999999999</v>
      </c>
      <c r="R357" s="2">
        <f t="shared" si="43"/>
        <v>37.348510638297874</v>
      </c>
      <c r="S357" s="2">
        <v>12</v>
      </c>
      <c r="T357" s="2">
        <v>23</v>
      </c>
      <c r="U357" s="2">
        <v>40.166699999999999</v>
      </c>
      <c r="V357" s="2">
        <f t="shared" si="44"/>
        <v>21.954507509848632</v>
      </c>
      <c r="W357" s="2">
        <v>5</v>
      </c>
      <c r="X357" s="2">
        <f t="shared" si="45"/>
        <v>16.61324772583615</v>
      </c>
      <c r="Y357" s="2">
        <v>27</v>
      </c>
      <c r="Z357" s="2">
        <f t="shared" si="46"/>
        <v>18</v>
      </c>
      <c r="AA357" s="2">
        <f t="shared" si="47"/>
        <v>18.384787189412883</v>
      </c>
      <c r="AB357" s="2">
        <v>44.034100000000002</v>
      </c>
      <c r="AC357" s="2">
        <v>9</v>
      </c>
      <c r="AD357" s="2">
        <v>8</v>
      </c>
      <c r="AE357" s="2">
        <v>4</v>
      </c>
      <c r="AF357" s="2">
        <v>5</v>
      </c>
      <c r="AG357" s="2">
        <v>4</v>
      </c>
    </row>
    <row r="358" spans="1:33" x14ac:dyDescent="0.3">
      <c r="A358" s="2" t="s">
        <v>35</v>
      </c>
      <c r="B358" s="2" t="s">
        <v>996</v>
      </c>
      <c r="C358" s="2" t="s">
        <v>55</v>
      </c>
      <c r="D358" s="2" t="s">
        <v>997</v>
      </c>
      <c r="E358" s="2">
        <v>2014</v>
      </c>
      <c r="F358" s="2">
        <v>5</v>
      </c>
      <c r="G358" s="2">
        <v>0</v>
      </c>
      <c r="H358" s="2">
        <v>5</v>
      </c>
      <c r="I358" s="2">
        <v>5</v>
      </c>
      <c r="J358" s="2">
        <v>5</v>
      </c>
      <c r="K358" s="2">
        <f t="shared" ca="1" si="40"/>
        <v>12</v>
      </c>
      <c r="L358" s="2">
        <v>2</v>
      </c>
      <c r="M358" s="2">
        <v>0</v>
      </c>
      <c r="N358" s="2">
        <v>7</v>
      </c>
      <c r="O358" s="2">
        <f t="shared" ca="1" si="41"/>
        <v>0.16666666666666666</v>
      </c>
      <c r="P358" s="2">
        <f t="shared" ca="1" si="42"/>
        <v>93.333333333333343</v>
      </c>
      <c r="Q358" s="2">
        <v>0.73850000000000005</v>
      </c>
      <c r="R358" s="2">
        <f t="shared" si="43"/>
        <v>104.77000000000001</v>
      </c>
      <c r="S358" s="2">
        <v>2</v>
      </c>
      <c r="T358" s="2">
        <v>2</v>
      </c>
      <c r="U358" s="2">
        <v>3</v>
      </c>
      <c r="V358" s="2">
        <f t="shared" si="44"/>
        <v>2.4494897427831779</v>
      </c>
      <c r="W358" s="2">
        <v>1</v>
      </c>
      <c r="X358" s="2">
        <f t="shared" si="45"/>
        <v>2</v>
      </c>
      <c r="Y358" s="2">
        <v>3</v>
      </c>
      <c r="Z358" s="2">
        <f t="shared" si="46"/>
        <v>2.4494897427831779</v>
      </c>
      <c r="AA358" s="2">
        <f t="shared" si="47"/>
        <v>1.4142135623730951</v>
      </c>
      <c r="AB358" s="2">
        <v>2.8283999999999998</v>
      </c>
      <c r="AC358" s="2">
        <v>2</v>
      </c>
      <c r="AD358" s="2">
        <v>0</v>
      </c>
      <c r="AE358" s="2">
        <v>0</v>
      </c>
      <c r="AF358" s="2">
        <v>0</v>
      </c>
      <c r="AG358" s="2">
        <v>2</v>
      </c>
    </row>
    <row r="359" spans="1:33" x14ac:dyDescent="0.3">
      <c r="A359" s="2" t="s">
        <v>35</v>
      </c>
      <c r="B359" s="2" t="s">
        <v>999</v>
      </c>
      <c r="C359" s="2" t="s">
        <v>109</v>
      </c>
      <c r="D359" s="2" t="s">
        <v>1000</v>
      </c>
      <c r="E359" s="2">
        <v>2023</v>
      </c>
      <c r="F359" s="2">
        <v>7</v>
      </c>
      <c r="G359" s="2">
        <v>3</v>
      </c>
      <c r="H359" s="2">
        <v>0</v>
      </c>
      <c r="I359" s="2">
        <v>2</v>
      </c>
      <c r="J359" s="2">
        <v>2</v>
      </c>
      <c r="K359" s="2">
        <f t="shared" ca="1" si="40"/>
        <v>3</v>
      </c>
      <c r="L359" s="2">
        <v>3</v>
      </c>
      <c r="M359" s="2">
        <v>1</v>
      </c>
      <c r="N359" s="2">
        <v>110</v>
      </c>
      <c r="O359" s="2">
        <f t="shared" ca="1" si="41"/>
        <v>1</v>
      </c>
      <c r="P359" s="2">
        <f t="shared" ca="1" si="42"/>
        <v>67.142857142857153</v>
      </c>
      <c r="Q359" s="2">
        <v>6</v>
      </c>
      <c r="R359" s="2">
        <f t="shared" si="43"/>
        <v>138.57142857142856</v>
      </c>
      <c r="S359" s="2">
        <v>3</v>
      </c>
      <c r="T359" s="2">
        <v>7</v>
      </c>
      <c r="U359" s="2">
        <v>36</v>
      </c>
      <c r="V359" s="2">
        <f t="shared" si="44"/>
        <v>10.392304845413264</v>
      </c>
      <c r="W359" s="2">
        <v>1</v>
      </c>
      <c r="X359" s="2">
        <f t="shared" si="45"/>
        <v>4.5825756949558398</v>
      </c>
      <c r="Y359" s="2">
        <v>3</v>
      </c>
      <c r="Z359" s="2">
        <f t="shared" si="46"/>
        <v>3</v>
      </c>
      <c r="AA359" s="2">
        <f t="shared" si="47"/>
        <v>9.9498743710661994</v>
      </c>
      <c r="AB359" s="2">
        <v>10.816700000000001</v>
      </c>
      <c r="AC359" s="2">
        <v>3</v>
      </c>
      <c r="AD359" s="2">
        <v>0</v>
      </c>
      <c r="AE359" s="2">
        <v>0</v>
      </c>
      <c r="AF359" s="2">
        <v>1</v>
      </c>
      <c r="AG359" s="2">
        <v>2</v>
      </c>
    </row>
    <row r="360" spans="1:33" x14ac:dyDescent="0.3">
      <c r="A360" s="2" t="s">
        <v>35</v>
      </c>
      <c r="B360" s="2" t="s">
        <v>1002</v>
      </c>
      <c r="C360" s="2" t="s">
        <v>51</v>
      </c>
      <c r="D360" s="2" t="s">
        <v>1003</v>
      </c>
      <c r="E360" s="2">
        <v>1972</v>
      </c>
      <c r="F360" s="2">
        <v>173</v>
      </c>
      <c r="G360" s="2">
        <v>57</v>
      </c>
      <c r="H360" s="2">
        <v>40</v>
      </c>
      <c r="I360" s="2">
        <v>11</v>
      </c>
      <c r="J360" s="2">
        <v>41</v>
      </c>
      <c r="K360" s="2">
        <f t="shared" ca="1" si="40"/>
        <v>54</v>
      </c>
      <c r="L360" s="2">
        <v>24</v>
      </c>
      <c r="M360" s="2">
        <v>45</v>
      </c>
      <c r="N360" s="2">
        <v>1925</v>
      </c>
      <c r="O360" s="2">
        <f t="shared" ca="1" si="41"/>
        <v>0.44444444444444442</v>
      </c>
      <c r="P360" s="2">
        <f t="shared" ca="1" si="42"/>
        <v>22.684649967886962</v>
      </c>
      <c r="Q360" s="2">
        <v>10.493600000000001</v>
      </c>
      <c r="R360" s="2">
        <f t="shared" si="43"/>
        <v>28.493410404624278</v>
      </c>
      <c r="S360" s="2">
        <v>24</v>
      </c>
      <c r="T360" s="2">
        <v>40</v>
      </c>
      <c r="U360" s="2">
        <v>55.625</v>
      </c>
      <c r="V360" s="2">
        <f t="shared" si="44"/>
        <v>36.537651812890218</v>
      </c>
      <c r="W360" s="2">
        <v>7</v>
      </c>
      <c r="X360" s="2">
        <f t="shared" si="45"/>
        <v>30.983866769659336</v>
      </c>
      <c r="Y360" s="2">
        <v>42.5</v>
      </c>
      <c r="Z360" s="2">
        <f t="shared" si="46"/>
        <v>31.937438845342623</v>
      </c>
      <c r="AA360" s="2">
        <f t="shared" si="47"/>
        <v>27.54995462791182</v>
      </c>
      <c r="AB360" s="2">
        <v>105.78749999999999</v>
      </c>
      <c r="AC360" s="2">
        <v>16</v>
      </c>
      <c r="AD360" s="2">
        <v>7</v>
      </c>
      <c r="AE360" s="2">
        <v>14</v>
      </c>
      <c r="AF360" s="2">
        <v>15</v>
      </c>
      <c r="AG360" s="2">
        <v>5</v>
      </c>
    </row>
    <row r="361" spans="1:33" x14ac:dyDescent="0.3">
      <c r="A361" s="2" t="s">
        <v>35</v>
      </c>
      <c r="B361" s="2" t="s">
        <v>1005</v>
      </c>
      <c r="C361" s="2" t="s">
        <v>51</v>
      </c>
      <c r="D361" s="2" t="s">
        <v>1006</v>
      </c>
      <c r="E361" s="2">
        <v>1994</v>
      </c>
      <c r="F361" s="2">
        <v>77</v>
      </c>
      <c r="G361" s="2">
        <v>9</v>
      </c>
      <c r="H361" s="2">
        <v>43</v>
      </c>
      <c r="I361" s="2">
        <v>14</v>
      </c>
      <c r="J361" s="2">
        <v>43</v>
      </c>
      <c r="K361" s="2">
        <f t="shared" ca="1" si="40"/>
        <v>32</v>
      </c>
      <c r="L361" s="2">
        <v>14</v>
      </c>
      <c r="M361" s="2">
        <v>15</v>
      </c>
      <c r="N361" s="2">
        <v>998</v>
      </c>
      <c r="O361" s="2">
        <f t="shared" ca="1" si="41"/>
        <v>0.4375</v>
      </c>
      <c r="P361" s="2">
        <f t="shared" ca="1" si="42"/>
        <v>45.503246753246756</v>
      </c>
      <c r="Q361" s="2">
        <v>9.5618999999999996</v>
      </c>
      <c r="R361" s="2">
        <f t="shared" si="43"/>
        <v>57.353116883116883</v>
      </c>
      <c r="S361" s="2">
        <v>14</v>
      </c>
      <c r="T361" s="2">
        <v>31</v>
      </c>
      <c r="U361" s="2">
        <v>62.714300000000001</v>
      </c>
      <c r="V361" s="2">
        <f t="shared" si="44"/>
        <v>29.63106815489445</v>
      </c>
      <c r="W361" s="2">
        <v>6</v>
      </c>
      <c r="X361" s="2">
        <f t="shared" si="45"/>
        <v>20.83266665599966</v>
      </c>
      <c r="Y361" s="2">
        <v>36.5</v>
      </c>
      <c r="Z361" s="2">
        <f t="shared" si="46"/>
        <v>22.605309110914629</v>
      </c>
      <c r="AA361" s="2">
        <f t="shared" si="47"/>
        <v>26.115133543598816</v>
      </c>
      <c r="AB361" s="2">
        <v>62.040300000000002</v>
      </c>
      <c r="AC361" s="2">
        <v>12</v>
      </c>
      <c r="AD361" s="2">
        <v>6</v>
      </c>
      <c r="AE361" s="2">
        <v>7</v>
      </c>
      <c r="AF361" s="2">
        <v>4</v>
      </c>
      <c r="AG361" s="2">
        <v>3</v>
      </c>
    </row>
    <row r="362" spans="1:33" x14ac:dyDescent="0.3">
      <c r="A362" s="2" t="s">
        <v>35</v>
      </c>
      <c r="B362" s="2" t="s">
        <v>1008</v>
      </c>
      <c r="C362" s="2" t="s">
        <v>128</v>
      </c>
      <c r="D362" s="2" t="s">
        <v>1009</v>
      </c>
      <c r="E362" s="2">
        <v>1994</v>
      </c>
      <c r="F362" s="2">
        <v>307</v>
      </c>
      <c r="G362" s="2">
        <v>48</v>
      </c>
      <c r="H362" s="2">
        <v>91</v>
      </c>
      <c r="I362" s="2">
        <v>70</v>
      </c>
      <c r="J362" s="2">
        <v>120</v>
      </c>
      <c r="K362" s="2">
        <f t="shared" ca="1" si="40"/>
        <v>32</v>
      </c>
      <c r="L362" s="2">
        <v>39</v>
      </c>
      <c r="M362" s="2">
        <v>109</v>
      </c>
      <c r="N362" s="2">
        <v>6399</v>
      </c>
      <c r="O362" s="2">
        <f t="shared" ca="1" si="41"/>
        <v>1.21875</v>
      </c>
      <c r="P362" s="2">
        <f t="shared" ca="1" si="42"/>
        <v>31.08102605863192</v>
      </c>
      <c r="Q362" s="2">
        <v>19.736499999999999</v>
      </c>
      <c r="R362" s="2">
        <f t="shared" si="43"/>
        <v>37.112866449511394</v>
      </c>
      <c r="S362" s="2">
        <v>39</v>
      </c>
      <c r="T362" s="2">
        <v>73</v>
      </c>
      <c r="U362" s="2">
        <v>117.2051</v>
      </c>
      <c r="V362" s="2">
        <f t="shared" si="44"/>
        <v>67.609162840549956</v>
      </c>
      <c r="W362" s="2">
        <v>10</v>
      </c>
      <c r="X362" s="2">
        <f t="shared" si="45"/>
        <v>53.3572862878164</v>
      </c>
      <c r="Y362" s="2">
        <v>74</v>
      </c>
      <c r="Z362" s="2">
        <f t="shared" si="46"/>
        <v>53.721504074253168</v>
      </c>
      <c r="AA362" s="2">
        <f t="shared" si="47"/>
        <v>55.226795127003349</v>
      </c>
      <c r="AB362" s="2">
        <v>232.23480000000001</v>
      </c>
      <c r="AC362" s="2">
        <v>25</v>
      </c>
      <c r="AD362" s="2">
        <v>12</v>
      </c>
      <c r="AE362" s="2">
        <v>17</v>
      </c>
      <c r="AF362" s="2">
        <v>26</v>
      </c>
      <c r="AG362" s="2">
        <v>15</v>
      </c>
    </row>
    <row r="363" spans="1:33" x14ac:dyDescent="0.3">
      <c r="A363" s="2" t="s">
        <v>35</v>
      </c>
      <c r="B363" s="2" t="s">
        <v>1011</v>
      </c>
      <c r="C363" s="2" t="s">
        <v>38</v>
      </c>
      <c r="D363" s="2" t="s">
        <v>1012</v>
      </c>
      <c r="E363" s="2">
        <v>2001</v>
      </c>
      <c r="F363" s="2">
        <v>27</v>
      </c>
      <c r="G363" s="2">
        <v>0</v>
      </c>
      <c r="H363" s="2">
        <v>11</v>
      </c>
      <c r="I363" s="2">
        <v>7</v>
      </c>
      <c r="J363" s="2">
        <v>11</v>
      </c>
      <c r="K363" s="2">
        <f t="shared" ca="1" si="40"/>
        <v>25</v>
      </c>
      <c r="L363" s="2">
        <v>9</v>
      </c>
      <c r="M363" s="2">
        <v>9</v>
      </c>
      <c r="N363" s="2">
        <v>279</v>
      </c>
      <c r="O363" s="2">
        <f t="shared" ca="1" si="41"/>
        <v>0.36</v>
      </c>
      <c r="P363" s="2">
        <f t="shared" ca="1" si="42"/>
        <v>55.037037037037038</v>
      </c>
      <c r="Q363" s="2">
        <v>3.4552</v>
      </c>
      <c r="R363" s="2">
        <f t="shared" si="43"/>
        <v>66.500740740740753</v>
      </c>
      <c r="S363" s="2">
        <v>9</v>
      </c>
      <c r="T363" s="2">
        <v>16</v>
      </c>
      <c r="U363" s="2">
        <v>25</v>
      </c>
      <c r="V363" s="2">
        <f t="shared" si="44"/>
        <v>15</v>
      </c>
      <c r="W363" s="2">
        <v>5</v>
      </c>
      <c r="X363" s="2">
        <f t="shared" si="45"/>
        <v>12</v>
      </c>
      <c r="Y363" s="2">
        <v>28</v>
      </c>
      <c r="Z363" s="2">
        <f t="shared" si="46"/>
        <v>15.874507866387544</v>
      </c>
      <c r="AA363" s="2">
        <f t="shared" si="47"/>
        <v>12</v>
      </c>
      <c r="AB363" s="2">
        <v>29.933299999999999</v>
      </c>
      <c r="AC363" s="2">
        <v>8</v>
      </c>
      <c r="AD363" s="2">
        <v>3</v>
      </c>
      <c r="AE363" s="2">
        <v>5</v>
      </c>
      <c r="AF363" s="2">
        <v>4</v>
      </c>
      <c r="AG363" s="2">
        <v>4</v>
      </c>
    </row>
    <row r="364" spans="1:33" x14ac:dyDescent="0.3">
      <c r="A364" s="2" t="s">
        <v>35</v>
      </c>
      <c r="B364" s="2" t="s">
        <v>1014</v>
      </c>
      <c r="C364" s="2" t="s">
        <v>38</v>
      </c>
      <c r="D364" s="2" t="s">
        <v>1015</v>
      </c>
      <c r="E364" s="2">
        <v>1997</v>
      </c>
      <c r="F364" s="2">
        <v>113</v>
      </c>
      <c r="G364" s="2">
        <v>52</v>
      </c>
      <c r="H364" s="2">
        <v>38</v>
      </c>
      <c r="I364" s="2">
        <v>7</v>
      </c>
      <c r="J364" s="2">
        <v>41</v>
      </c>
      <c r="K364" s="2">
        <f t="shared" ca="1" si="40"/>
        <v>29</v>
      </c>
      <c r="L364" s="2">
        <v>25</v>
      </c>
      <c r="M364" s="2">
        <v>39</v>
      </c>
      <c r="N364" s="2">
        <v>2812</v>
      </c>
      <c r="O364" s="2">
        <f t="shared" ca="1" si="41"/>
        <v>0.86206896551724133</v>
      </c>
      <c r="P364" s="2">
        <f t="shared" ca="1" si="42"/>
        <v>36.426609703997556</v>
      </c>
      <c r="Q364" s="2">
        <v>15.254899999999999</v>
      </c>
      <c r="R364" s="2">
        <f t="shared" si="43"/>
        <v>49.163628318584067</v>
      </c>
      <c r="S364" s="2">
        <v>25</v>
      </c>
      <c r="T364" s="2">
        <v>52</v>
      </c>
      <c r="U364" s="2">
        <v>98.68</v>
      </c>
      <c r="V364" s="2">
        <f t="shared" si="44"/>
        <v>49.668903752750573</v>
      </c>
      <c r="W364" s="2">
        <v>9</v>
      </c>
      <c r="X364" s="2">
        <f t="shared" si="45"/>
        <v>36.055512754639892</v>
      </c>
      <c r="Y364" s="2">
        <v>58</v>
      </c>
      <c r="Z364" s="2">
        <f t="shared" si="46"/>
        <v>38.078865529319543</v>
      </c>
      <c r="AA364" s="2">
        <f t="shared" si="47"/>
        <v>42.918527467749868</v>
      </c>
      <c r="AB364" s="2">
        <v>138.5027</v>
      </c>
      <c r="AC364" s="2">
        <v>15</v>
      </c>
      <c r="AD364" s="2">
        <v>11</v>
      </c>
      <c r="AE364" s="2">
        <v>9</v>
      </c>
      <c r="AF364" s="2">
        <v>16</v>
      </c>
      <c r="AG364" s="2">
        <v>2</v>
      </c>
    </row>
    <row r="365" spans="1:33" x14ac:dyDescent="0.3">
      <c r="A365" s="2" t="s">
        <v>35</v>
      </c>
      <c r="B365" s="2" t="s">
        <v>1017</v>
      </c>
      <c r="C365" s="2" t="s">
        <v>91</v>
      </c>
      <c r="D365" s="2" t="s">
        <v>1018</v>
      </c>
      <c r="E365" s="2">
        <v>2005</v>
      </c>
      <c r="F365" s="2">
        <v>44</v>
      </c>
      <c r="G365" s="2">
        <v>12</v>
      </c>
      <c r="H365" s="2">
        <v>17</v>
      </c>
      <c r="I365" s="2">
        <v>7</v>
      </c>
      <c r="J365" s="2">
        <v>17</v>
      </c>
      <c r="K365" s="2">
        <f t="shared" ca="1" si="40"/>
        <v>21</v>
      </c>
      <c r="L365" s="2">
        <v>7</v>
      </c>
      <c r="M365" s="2">
        <v>5</v>
      </c>
      <c r="N365" s="2">
        <v>140</v>
      </c>
      <c r="O365" s="2">
        <f t="shared" ca="1" si="41"/>
        <v>0.33333333333333331</v>
      </c>
      <c r="P365" s="2">
        <f t="shared" ca="1" si="42"/>
        <v>33.257575757575765</v>
      </c>
      <c r="Q365" s="2">
        <v>4.0049000000000001</v>
      </c>
      <c r="R365" s="2">
        <f t="shared" si="43"/>
        <v>41.602045454545461</v>
      </c>
      <c r="S365" s="2">
        <v>7</v>
      </c>
      <c r="T365" s="2">
        <v>10</v>
      </c>
      <c r="U365" s="2">
        <v>13</v>
      </c>
      <c r="V365" s="2">
        <f t="shared" si="44"/>
        <v>9.5393920141694561</v>
      </c>
      <c r="W365" s="2">
        <v>3</v>
      </c>
      <c r="X365" s="2">
        <f t="shared" si="45"/>
        <v>8.3666002653407556</v>
      </c>
      <c r="Y365" s="2">
        <v>12</v>
      </c>
      <c r="Z365" s="2">
        <f t="shared" si="46"/>
        <v>9.1651513899116797</v>
      </c>
      <c r="AA365" s="2">
        <f t="shared" si="47"/>
        <v>6.4807406984078604</v>
      </c>
      <c r="AB365" s="2">
        <v>17.578399999999998</v>
      </c>
      <c r="AC365" s="2">
        <v>4</v>
      </c>
      <c r="AD365" s="2">
        <v>2</v>
      </c>
      <c r="AE365" s="2">
        <v>6</v>
      </c>
      <c r="AF365" s="2">
        <v>2</v>
      </c>
      <c r="AG365" s="2">
        <v>2</v>
      </c>
    </row>
    <row r="366" spans="1:33" x14ac:dyDescent="0.3">
      <c r="A366" s="2" t="s">
        <v>35</v>
      </c>
      <c r="B366" s="2" t="s">
        <v>1020</v>
      </c>
      <c r="C366" s="2" t="s">
        <v>38</v>
      </c>
      <c r="D366" s="2" t="s">
        <v>1021</v>
      </c>
      <c r="E366" s="2">
        <v>2005</v>
      </c>
      <c r="F366" s="2">
        <v>18</v>
      </c>
      <c r="G366" s="2">
        <v>1</v>
      </c>
      <c r="H366" s="2">
        <v>8</v>
      </c>
      <c r="I366" s="2">
        <v>8</v>
      </c>
      <c r="J366" s="2">
        <v>8</v>
      </c>
      <c r="K366" s="2">
        <f t="shared" ca="1" si="40"/>
        <v>21</v>
      </c>
      <c r="L366" s="2">
        <v>5</v>
      </c>
      <c r="M366" s="2">
        <v>3</v>
      </c>
      <c r="N366" s="2">
        <v>261</v>
      </c>
      <c r="O366" s="2">
        <f t="shared" ca="1" si="41"/>
        <v>0.23809523809523808</v>
      </c>
      <c r="P366" s="2">
        <f t="shared" ca="1" si="42"/>
        <v>50.767195767195766</v>
      </c>
      <c r="Q366" s="2">
        <v>4.2202999999999999</v>
      </c>
      <c r="R366" s="2">
        <f t="shared" si="43"/>
        <v>72.890555555555551</v>
      </c>
      <c r="S366" s="2">
        <v>5</v>
      </c>
      <c r="T366" s="2">
        <v>16</v>
      </c>
      <c r="U366" s="2">
        <v>48.2</v>
      </c>
      <c r="V366" s="2">
        <f t="shared" si="44"/>
        <v>15.524174696260024</v>
      </c>
      <c r="W366" s="2">
        <v>3</v>
      </c>
      <c r="X366" s="2">
        <f t="shared" si="45"/>
        <v>8.9442719099991592</v>
      </c>
      <c r="Y366" s="2">
        <v>10</v>
      </c>
      <c r="Z366" s="2">
        <f t="shared" si="46"/>
        <v>7.0710678118654755</v>
      </c>
      <c r="AA366" s="2">
        <f t="shared" si="47"/>
        <v>14.696938456699069</v>
      </c>
      <c r="AB366" s="2">
        <v>18.8414</v>
      </c>
      <c r="AC366" s="2">
        <v>4</v>
      </c>
      <c r="AD366" s="2">
        <v>0</v>
      </c>
      <c r="AE366" s="2">
        <v>3</v>
      </c>
      <c r="AF366" s="2">
        <v>1</v>
      </c>
      <c r="AG366" s="2">
        <v>3</v>
      </c>
    </row>
    <row r="367" spans="1:33" x14ac:dyDescent="0.3">
      <c r="A367" s="2" t="s">
        <v>35</v>
      </c>
      <c r="B367" s="2" t="s">
        <v>1023</v>
      </c>
      <c r="C367" s="2" t="s">
        <v>150</v>
      </c>
      <c r="D367" s="2" t="s">
        <v>1024</v>
      </c>
      <c r="E367" s="2">
        <v>2011</v>
      </c>
      <c r="F367" s="2">
        <v>23</v>
      </c>
      <c r="G367" s="2">
        <v>11</v>
      </c>
      <c r="H367" s="2">
        <v>11</v>
      </c>
      <c r="I367" s="2">
        <v>7</v>
      </c>
      <c r="J367" s="2">
        <v>11</v>
      </c>
      <c r="K367" s="2">
        <f t="shared" ca="1" si="40"/>
        <v>15</v>
      </c>
      <c r="L367" s="2">
        <v>6</v>
      </c>
      <c r="M367" s="2">
        <v>2</v>
      </c>
      <c r="N367" s="2">
        <v>103</v>
      </c>
      <c r="O367" s="2">
        <f t="shared" ca="1" si="41"/>
        <v>0.4</v>
      </c>
      <c r="P367" s="2">
        <f t="shared" ca="1" si="42"/>
        <v>46.956521739130437</v>
      </c>
      <c r="Q367" s="2">
        <v>3.5785999999999998</v>
      </c>
      <c r="R367" s="2">
        <f t="shared" si="43"/>
        <v>60.77652173913043</v>
      </c>
      <c r="S367" s="2">
        <v>6</v>
      </c>
      <c r="T367" s="2">
        <v>9</v>
      </c>
      <c r="U367" s="2">
        <v>12.833299999999999</v>
      </c>
      <c r="V367" s="2">
        <f t="shared" si="44"/>
        <v>8.7749529913270763</v>
      </c>
      <c r="W367" s="2">
        <v>3</v>
      </c>
      <c r="X367" s="2">
        <f t="shared" si="45"/>
        <v>7.3484692283495345</v>
      </c>
      <c r="Y367" s="2">
        <v>9</v>
      </c>
      <c r="Z367" s="2">
        <f t="shared" si="46"/>
        <v>7.3484692283495345</v>
      </c>
      <c r="AA367" s="2">
        <f t="shared" si="47"/>
        <v>6.4031086200376137</v>
      </c>
      <c r="AB367" s="2">
        <v>14.3178</v>
      </c>
      <c r="AC367" s="2">
        <v>4</v>
      </c>
      <c r="AD367" s="2">
        <v>4</v>
      </c>
      <c r="AE367" s="2">
        <v>0</v>
      </c>
      <c r="AF367" s="2">
        <v>4</v>
      </c>
      <c r="AG367" s="2">
        <v>2</v>
      </c>
    </row>
    <row r="368" spans="1:33" x14ac:dyDescent="0.3">
      <c r="A368" s="2" t="s">
        <v>35</v>
      </c>
      <c r="B368" s="2" t="s">
        <v>1026</v>
      </c>
      <c r="C368" s="2" t="s">
        <v>1027</v>
      </c>
      <c r="D368" s="2" t="s">
        <v>1028</v>
      </c>
      <c r="E368" s="2">
        <v>2001</v>
      </c>
      <c r="F368" s="2">
        <v>16</v>
      </c>
      <c r="G368" s="2">
        <v>2</v>
      </c>
      <c r="H368" s="2">
        <v>5</v>
      </c>
      <c r="I368" s="2">
        <v>5</v>
      </c>
      <c r="J368" s="2">
        <v>6</v>
      </c>
      <c r="K368" s="2">
        <f t="shared" ca="1" si="40"/>
        <v>25</v>
      </c>
      <c r="L368" s="2">
        <v>5</v>
      </c>
      <c r="M368" s="2">
        <v>2</v>
      </c>
      <c r="N368" s="2">
        <v>77</v>
      </c>
      <c r="O368" s="2">
        <f t="shared" ca="1" si="41"/>
        <v>0.2</v>
      </c>
      <c r="P368" s="2">
        <f t="shared" ca="1" si="42"/>
        <v>50</v>
      </c>
      <c r="Q368" s="2">
        <v>2.5222000000000002</v>
      </c>
      <c r="R368" s="2">
        <f t="shared" si="43"/>
        <v>64.513750000000002</v>
      </c>
      <c r="S368" s="2">
        <v>5</v>
      </c>
      <c r="T368" s="2">
        <v>8</v>
      </c>
      <c r="U368" s="2">
        <v>12.4</v>
      </c>
      <c r="V368" s="2">
        <f t="shared" si="44"/>
        <v>7.8740078740118111</v>
      </c>
      <c r="W368" s="2">
        <v>2</v>
      </c>
      <c r="X368" s="2">
        <f t="shared" si="45"/>
        <v>6.324555320336759</v>
      </c>
      <c r="Y368" s="2">
        <v>6</v>
      </c>
      <c r="Z368" s="2">
        <f t="shared" si="46"/>
        <v>5.4772255750516612</v>
      </c>
      <c r="AA368" s="2">
        <f t="shared" si="47"/>
        <v>6.0827625302982193</v>
      </c>
      <c r="AB368" s="2">
        <v>11.225</v>
      </c>
      <c r="AC368" s="2">
        <v>2</v>
      </c>
      <c r="AD368" s="2">
        <v>1</v>
      </c>
      <c r="AE368" s="2">
        <v>2</v>
      </c>
      <c r="AF368" s="2">
        <v>5</v>
      </c>
      <c r="AG368" s="2">
        <v>1</v>
      </c>
    </row>
    <row r="369" spans="1:33" x14ac:dyDescent="0.3">
      <c r="A369" s="2" t="s">
        <v>35</v>
      </c>
      <c r="B369" s="2" t="s">
        <v>1030</v>
      </c>
      <c r="C369" s="2" t="s">
        <v>67</v>
      </c>
      <c r="D369" s="2" t="s">
        <v>1031</v>
      </c>
      <c r="E369" s="2">
        <v>2011</v>
      </c>
      <c r="F369" s="2">
        <v>29</v>
      </c>
      <c r="G369" s="2">
        <v>24</v>
      </c>
      <c r="H369" s="2">
        <v>8</v>
      </c>
      <c r="I369" s="2">
        <v>2</v>
      </c>
      <c r="J369" s="2">
        <v>8</v>
      </c>
      <c r="K369" s="2">
        <f t="shared" ca="1" si="40"/>
        <v>15</v>
      </c>
      <c r="L369" s="2">
        <v>15</v>
      </c>
      <c r="M369" s="2">
        <v>15</v>
      </c>
      <c r="N369" s="2">
        <v>936</v>
      </c>
      <c r="O369" s="2">
        <f t="shared" ca="1" si="41"/>
        <v>1</v>
      </c>
      <c r="P369" s="2">
        <f t="shared" ca="1" si="42"/>
        <v>60.689655172413794</v>
      </c>
      <c r="Q369" s="2">
        <v>9.0146999999999995</v>
      </c>
      <c r="R369" s="2">
        <f t="shared" si="43"/>
        <v>88.326551724137929</v>
      </c>
      <c r="S369" s="2">
        <v>15</v>
      </c>
      <c r="T369" s="2">
        <v>29</v>
      </c>
      <c r="U369" s="2">
        <v>61.2667</v>
      </c>
      <c r="V369" s="2">
        <f t="shared" si="44"/>
        <v>30.315021029186173</v>
      </c>
      <c r="W369" s="2">
        <v>6</v>
      </c>
      <c r="X369" s="2">
        <f t="shared" si="45"/>
        <v>20.85665361461421</v>
      </c>
      <c r="Y369" s="2">
        <v>41</v>
      </c>
      <c r="Z369" s="2">
        <f t="shared" si="46"/>
        <v>24.79919353527449</v>
      </c>
      <c r="AA369" s="2">
        <f t="shared" si="47"/>
        <v>26.343889234507497</v>
      </c>
      <c r="AB369" s="2">
        <v>65.345200000000006</v>
      </c>
      <c r="AC369" s="2">
        <v>8</v>
      </c>
      <c r="AD369" s="2">
        <v>3</v>
      </c>
      <c r="AE369" s="2">
        <v>1</v>
      </c>
      <c r="AF369" s="2">
        <v>10</v>
      </c>
      <c r="AG369" s="2">
        <v>2</v>
      </c>
    </row>
    <row r="370" spans="1:33" x14ac:dyDescent="0.3">
      <c r="A370" s="2" t="s">
        <v>35</v>
      </c>
      <c r="B370" s="2" t="s">
        <v>1033</v>
      </c>
      <c r="C370" s="2" t="s">
        <v>74</v>
      </c>
      <c r="D370" s="2" t="s">
        <v>1034</v>
      </c>
      <c r="E370" s="2">
        <v>2011</v>
      </c>
      <c r="F370" s="2">
        <v>29</v>
      </c>
      <c r="G370" s="2">
        <v>7</v>
      </c>
      <c r="H370" s="2">
        <v>0</v>
      </c>
      <c r="I370" s="2">
        <v>12</v>
      </c>
      <c r="J370" s="2">
        <v>12</v>
      </c>
      <c r="K370" s="2">
        <f t="shared" ca="1" si="40"/>
        <v>15</v>
      </c>
      <c r="L370" s="2">
        <v>11</v>
      </c>
      <c r="M370" s="2">
        <v>13</v>
      </c>
      <c r="N370" s="2">
        <v>717</v>
      </c>
      <c r="O370" s="2">
        <f t="shared" ca="1" si="41"/>
        <v>0.73333333333333328</v>
      </c>
      <c r="P370" s="2">
        <f t="shared" ca="1" si="42"/>
        <v>58.735632183908045</v>
      </c>
      <c r="Q370" s="2">
        <v>8.7645</v>
      </c>
      <c r="R370" s="2">
        <f t="shared" si="43"/>
        <v>86.429310344827584</v>
      </c>
      <c r="S370" s="2">
        <v>11</v>
      </c>
      <c r="T370" s="2">
        <v>26</v>
      </c>
      <c r="U370" s="2">
        <v>60.7273</v>
      </c>
      <c r="V370" s="2">
        <f t="shared" si="44"/>
        <v>25.845701770313763</v>
      </c>
      <c r="W370" s="2">
        <v>6</v>
      </c>
      <c r="X370" s="2">
        <f t="shared" si="45"/>
        <v>16.911534525287763</v>
      </c>
      <c r="Y370" s="2">
        <v>41</v>
      </c>
      <c r="Z370" s="2">
        <f t="shared" si="46"/>
        <v>21.236760581595302</v>
      </c>
      <c r="AA370" s="2">
        <f t="shared" si="47"/>
        <v>23.388037540588993</v>
      </c>
      <c r="AB370" s="2">
        <v>48.703200000000002</v>
      </c>
      <c r="AC370" s="2">
        <v>9</v>
      </c>
      <c r="AD370" s="2">
        <v>0</v>
      </c>
      <c r="AE370" s="2">
        <v>2</v>
      </c>
      <c r="AF370" s="2">
        <v>5</v>
      </c>
      <c r="AG370" s="2">
        <v>7</v>
      </c>
    </row>
    <row r="371" spans="1:33" x14ac:dyDescent="0.3">
      <c r="A371" s="2" t="s">
        <v>35</v>
      </c>
      <c r="B371" s="2" t="s">
        <v>1036</v>
      </c>
      <c r="C371" s="2" t="s">
        <v>51</v>
      </c>
      <c r="D371" s="2" t="s">
        <v>1037</v>
      </c>
      <c r="E371" s="2">
        <v>1999</v>
      </c>
      <c r="F371" s="2">
        <v>92</v>
      </c>
      <c r="G371" s="2">
        <v>67</v>
      </c>
      <c r="H371" s="2">
        <v>13</v>
      </c>
      <c r="I371" s="2">
        <v>8</v>
      </c>
      <c r="J371" s="2">
        <v>14</v>
      </c>
      <c r="K371" s="2">
        <f t="shared" ca="1" si="40"/>
        <v>27</v>
      </c>
      <c r="L371" s="2">
        <v>20</v>
      </c>
      <c r="M371" s="2">
        <v>26</v>
      </c>
      <c r="N371" s="2">
        <v>7822</v>
      </c>
      <c r="O371" s="2">
        <f t="shared" ca="1" si="41"/>
        <v>0.7407407407407407</v>
      </c>
      <c r="P371" s="2">
        <f t="shared" ca="1" si="42"/>
        <v>22.87037037037037</v>
      </c>
      <c r="Q371" s="2">
        <v>27.447500000000002</v>
      </c>
      <c r="R371" s="2">
        <f t="shared" si="43"/>
        <v>51.899456521739133</v>
      </c>
      <c r="S371" s="2">
        <v>20</v>
      </c>
      <c r="T371" s="2">
        <v>88</v>
      </c>
      <c r="U371" s="2">
        <v>383.6</v>
      </c>
      <c r="V371" s="2">
        <f t="shared" si="44"/>
        <v>87.58995376183276</v>
      </c>
      <c r="W371" s="2">
        <v>9</v>
      </c>
      <c r="X371" s="2">
        <f t="shared" si="45"/>
        <v>41.952353926806062</v>
      </c>
      <c r="Y371" s="2">
        <v>62.5</v>
      </c>
      <c r="Z371" s="2">
        <f t="shared" si="46"/>
        <v>35.355339059327378</v>
      </c>
      <c r="AA371" s="2">
        <f t="shared" si="47"/>
        <v>85.276022421311367</v>
      </c>
      <c r="AB371" s="2">
        <v>155.65989999999999</v>
      </c>
      <c r="AC371" s="2">
        <v>11</v>
      </c>
      <c r="AD371" s="2">
        <v>1</v>
      </c>
      <c r="AE371" s="2">
        <v>5</v>
      </c>
      <c r="AF371" s="2">
        <v>17</v>
      </c>
      <c r="AG371" s="2">
        <v>1</v>
      </c>
    </row>
    <row r="372" spans="1:33" x14ac:dyDescent="0.3">
      <c r="A372" s="2" t="s">
        <v>35</v>
      </c>
      <c r="B372" s="2" t="s">
        <v>1039</v>
      </c>
      <c r="C372" s="2" t="s">
        <v>74</v>
      </c>
      <c r="D372" s="2" t="s">
        <v>1040</v>
      </c>
      <c r="E372" s="2">
        <v>1991</v>
      </c>
      <c r="F372" s="2">
        <v>309</v>
      </c>
      <c r="G372" s="2">
        <v>137</v>
      </c>
      <c r="H372" s="2">
        <v>83</v>
      </c>
      <c r="I372" s="2">
        <v>84</v>
      </c>
      <c r="J372" s="2">
        <v>117</v>
      </c>
      <c r="K372" s="2">
        <f t="shared" ca="1" si="40"/>
        <v>35</v>
      </c>
      <c r="L372" s="2">
        <v>52</v>
      </c>
      <c r="M372" s="2">
        <v>160</v>
      </c>
      <c r="N372" s="2">
        <v>14935</v>
      </c>
      <c r="O372" s="2">
        <f t="shared" ca="1" si="41"/>
        <v>1.4857142857142858</v>
      </c>
      <c r="P372" s="2">
        <f t="shared" ca="1" si="42"/>
        <v>31.807674526121126</v>
      </c>
      <c r="Q372" s="2">
        <v>38.991500000000002</v>
      </c>
      <c r="R372" s="2">
        <f t="shared" si="43"/>
        <v>43.945469255663426</v>
      </c>
      <c r="S372" s="2">
        <v>51</v>
      </c>
      <c r="T372" s="2">
        <v>118</v>
      </c>
      <c r="U372" s="2">
        <v>230.90199999999999</v>
      </c>
      <c r="V372" s="2">
        <f t="shared" si="44"/>
        <v>108.51728894512615</v>
      </c>
      <c r="W372" s="2">
        <v>13</v>
      </c>
      <c r="X372" s="2">
        <f t="shared" si="45"/>
        <v>77.575769412877889</v>
      </c>
      <c r="Y372" s="2">
        <v>110</v>
      </c>
      <c r="Z372" s="2">
        <f t="shared" si="46"/>
        <v>74.899933244296022</v>
      </c>
      <c r="AA372" s="2">
        <f t="shared" si="47"/>
        <v>95.786230743254521</v>
      </c>
      <c r="AB372" s="2">
        <v>375.59289999999999</v>
      </c>
      <c r="AC372" s="2">
        <v>37</v>
      </c>
      <c r="AD372" s="2">
        <v>7</v>
      </c>
      <c r="AE372" s="2">
        <v>21</v>
      </c>
      <c r="AF372" s="2">
        <v>38</v>
      </c>
      <c r="AG372" s="2">
        <v>28</v>
      </c>
    </row>
    <row r="373" spans="1:33" x14ac:dyDescent="0.3">
      <c r="A373" s="2" t="s">
        <v>35</v>
      </c>
      <c r="B373" s="2" t="s">
        <v>1042</v>
      </c>
      <c r="C373" s="2" t="s">
        <v>38</v>
      </c>
      <c r="D373" s="2" t="s">
        <v>1043</v>
      </c>
      <c r="E373" s="2">
        <v>1970</v>
      </c>
      <c r="F373" s="2">
        <v>305</v>
      </c>
      <c r="G373" s="2">
        <v>84</v>
      </c>
      <c r="H373" s="2">
        <v>87</v>
      </c>
      <c r="I373" s="2">
        <v>31</v>
      </c>
      <c r="J373" s="2">
        <v>93</v>
      </c>
      <c r="K373" s="2">
        <f t="shared" ca="1" si="40"/>
        <v>56</v>
      </c>
      <c r="L373" s="2">
        <v>30</v>
      </c>
      <c r="M373" s="2">
        <v>79</v>
      </c>
      <c r="N373" s="2">
        <v>3146</v>
      </c>
      <c r="O373" s="2">
        <f t="shared" ca="1" si="41"/>
        <v>0.5357142857142857</v>
      </c>
      <c r="P373" s="2">
        <f t="shared" ca="1" si="42"/>
        <v>22.503512880562059</v>
      </c>
      <c r="Q373" s="2">
        <v>10.863200000000001</v>
      </c>
      <c r="R373" s="2">
        <f t="shared" si="43"/>
        <v>25.889573770491801</v>
      </c>
      <c r="S373" s="2">
        <v>30</v>
      </c>
      <c r="T373" s="2">
        <v>47</v>
      </c>
      <c r="U373" s="2">
        <v>62.566699999999997</v>
      </c>
      <c r="V373" s="2">
        <f t="shared" si="44"/>
        <v>43.324369585719303</v>
      </c>
      <c r="W373" s="2">
        <v>8</v>
      </c>
      <c r="X373" s="2">
        <f t="shared" si="45"/>
        <v>37.549966711037172</v>
      </c>
      <c r="Y373" s="2">
        <v>54.5</v>
      </c>
      <c r="Z373" s="2">
        <f t="shared" si="46"/>
        <v>40.435133238311458</v>
      </c>
      <c r="AA373" s="2">
        <f t="shared" si="47"/>
        <v>31.257015212588676</v>
      </c>
      <c r="AB373" s="2">
        <v>146.178</v>
      </c>
      <c r="AC373" s="2">
        <v>19</v>
      </c>
      <c r="AD373" s="2">
        <v>11</v>
      </c>
      <c r="AE373" s="2">
        <v>16</v>
      </c>
      <c r="AF373" s="2">
        <v>21</v>
      </c>
      <c r="AG373" s="2">
        <v>6</v>
      </c>
    </row>
    <row r="374" spans="1:33" x14ac:dyDescent="0.3">
      <c r="A374" s="2" t="s">
        <v>35</v>
      </c>
      <c r="B374" s="2" t="s">
        <v>1045</v>
      </c>
      <c r="C374" s="2" t="s">
        <v>81</v>
      </c>
      <c r="D374" s="2" t="s">
        <v>1046</v>
      </c>
      <c r="E374" s="2">
        <v>1995</v>
      </c>
      <c r="F374" s="2">
        <v>165</v>
      </c>
      <c r="G374" s="2">
        <v>98</v>
      </c>
      <c r="H374" s="2">
        <v>26</v>
      </c>
      <c r="I374" s="2">
        <v>25</v>
      </c>
      <c r="J374" s="2">
        <v>48</v>
      </c>
      <c r="K374" s="2">
        <f t="shared" ca="1" si="40"/>
        <v>31</v>
      </c>
      <c r="L374" s="2">
        <v>32</v>
      </c>
      <c r="M374" s="2">
        <v>47</v>
      </c>
      <c r="N374" s="2">
        <v>6713</v>
      </c>
      <c r="O374" s="2">
        <f t="shared" ca="1" si="41"/>
        <v>1.032258064516129</v>
      </c>
      <c r="P374" s="2">
        <f t="shared" ca="1" si="42"/>
        <v>28.625610948191596</v>
      </c>
      <c r="Q374" s="2">
        <v>21.782399999999999</v>
      </c>
      <c r="R374" s="2">
        <f t="shared" si="43"/>
        <v>41.201454545454546</v>
      </c>
      <c r="S374" s="2">
        <v>32</v>
      </c>
      <c r="T374" s="2">
        <v>81</v>
      </c>
      <c r="U374" s="2">
        <v>196.25</v>
      </c>
      <c r="V374" s="2">
        <f t="shared" si="44"/>
        <v>79.246451024635803</v>
      </c>
      <c r="W374" s="2">
        <v>12</v>
      </c>
      <c r="X374" s="2">
        <f t="shared" si="45"/>
        <v>50.911688245431421</v>
      </c>
      <c r="Y374" s="2">
        <v>108</v>
      </c>
      <c r="Z374" s="2">
        <f t="shared" si="46"/>
        <v>58.787753826796276</v>
      </c>
      <c r="AA374" s="2">
        <f t="shared" si="47"/>
        <v>72.498275841567434</v>
      </c>
      <c r="AB374" s="2">
        <v>221.19220000000001</v>
      </c>
      <c r="AC374" s="2">
        <v>18</v>
      </c>
      <c r="AD374" s="2">
        <v>7</v>
      </c>
      <c r="AE374" s="2">
        <v>7</v>
      </c>
      <c r="AF374" s="2">
        <v>25</v>
      </c>
      <c r="AG374" s="2">
        <v>7</v>
      </c>
    </row>
    <row r="375" spans="1:33" x14ac:dyDescent="0.3">
      <c r="A375" s="2" t="s">
        <v>35</v>
      </c>
      <c r="B375" s="2" t="s">
        <v>1150</v>
      </c>
      <c r="C375" s="2" t="s">
        <v>55</v>
      </c>
      <c r="D375" s="2" t="s">
        <v>1151</v>
      </c>
      <c r="E375" s="2">
        <v>2010</v>
      </c>
      <c r="F375" s="2">
        <v>3</v>
      </c>
      <c r="G375" s="2">
        <v>0</v>
      </c>
      <c r="H375" s="2">
        <v>3</v>
      </c>
      <c r="I375" s="2">
        <v>3</v>
      </c>
      <c r="J375" s="2">
        <v>3</v>
      </c>
      <c r="K375" s="2">
        <f t="shared" ca="1" si="40"/>
        <v>16</v>
      </c>
      <c r="L375" s="2">
        <v>0</v>
      </c>
      <c r="M375" s="2">
        <v>0</v>
      </c>
      <c r="N375" s="2">
        <v>0</v>
      </c>
      <c r="O375" s="2">
        <f t="shared" ca="1" si="41"/>
        <v>0</v>
      </c>
      <c r="P375" s="2">
        <f t="shared" ca="1" si="42"/>
        <v>50</v>
      </c>
      <c r="Q375" s="2">
        <v>0</v>
      </c>
      <c r="R375" s="2">
        <f t="shared" si="43"/>
        <v>50</v>
      </c>
      <c r="S375" s="2">
        <v>0</v>
      </c>
      <c r="T375" s="2">
        <v>0</v>
      </c>
      <c r="U375" s="2">
        <v>0</v>
      </c>
      <c r="V375" s="2">
        <f t="shared" si="44"/>
        <v>0</v>
      </c>
      <c r="W375" s="2">
        <v>0</v>
      </c>
      <c r="X375" s="2">
        <f t="shared" si="45"/>
        <v>0</v>
      </c>
      <c r="Y375" s="2">
        <v>0</v>
      </c>
      <c r="Z375" s="2">
        <f t="shared" si="46"/>
        <v>0</v>
      </c>
      <c r="AA375" s="2">
        <f t="shared" si="47"/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 x14ac:dyDescent="0.3">
      <c r="A376" s="2" t="s">
        <v>35</v>
      </c>
      <c r="B376" s="2" t="s">
        <v>1048</v>
      </c>
      <c r="C376" s="2" t="s">
        <v>43</v>
      </c>
      <c r="D376" s="2" t="s">
        <v>1049</v>
      </c>
      <c r="E376" s="2">
        <v>2003</v>
      </c>
      <c r="F376" s="2">
        <v>9</v>
      </c>
      <c r="G376" s="2">
        <v>1</v>
      </c>
      <c r="H376" s="2">
        <v>7</v>
      </c>
      <c r="I376" s="2">
        <v>7</v>
      </c>
      <c r="J376" s="2">
        <v>7</v>
      </c>
      <c r="K376" s="2">
        <f t="shared" ca="1" si="40"/>
        <v>23</v>
      </c>
      <c r="L376" s="2">
        <v>3</v>
      </c>
      <c r="M376" s="2">
        <v>0</v>
      </c>
      <c r="N376" s="2">
        <v>16</v>
      </c>
      <c r="O376" s="2">
        <f t="shared" ca="1" si="41"/>
        <v>0.13043478260869565</v>
      </c>
      <c r="P376" s="2">
        <f t="shared" ca="1" si="42"/>
        <v>72.560386473429944</v>
      </c>
      <c r="Q376" s="2">
        <v>1</v>
      </c>
      <c r="R376" s="2">
        <f t="shared" si="43"/>
        <v>82.222222222222229</v>
      </c>
      <c r="S376" s="2">
        <v>3</v>
      </c>
      <c r="T376" s="2">
        <v>4</v>
      </c>
      <c r="U376" s="2">
        <v>5</v>
      </c>
      <c r="V376" s="2">
        <f t="shared" si="44"/>
        <v>3.872983346207417</v>
      </c>
      <c r="W376" s="2">
        <v>2</v>
      </c>
      <c r="X376" s="2">
        <f t="shared" si="45"/>
        <v>3.4641016151377544</v>
      </c>
      <c r="Y376" s="2">
        <v>4</v>
      </c>
      <c r="Z376" s="2">
        <f t="shared" si="46"/>
        <v>3.4641016151377544</v>
      </c>
      <c r="AA376" s="2">
        <f t="shared" si="47"/>
        <v>2.4494897427831779</v>
      </c>
      <c r="AB376" s="2">
        <v>5</v>
      </c>
      <c r="AC376" s="2">
        <v>3</v>
      </c>
      <c r="AD376" s="2">
        <v>0</v>
      </c>
      <c r="AE376" s="2">
        <v>1</v>
      </c>
      <c r="AF376" s="2">
        <v>0</v>
      </c>
      <c r="AG376" s="2">
        <v>3</v>
      </c>
    </row>
    <row r="377" spans="1:33" x14ac:dyDescent="0.3">
      <c r="A377" s="2" t="s">
        <v>35</v>
      </c>
      <c r="B377" s="2" t="s">
        <v>1051</v>
      </c>
      <c r="C377" s="2" t="s">
        <v>38</v>
      </c>
      <c r="D377" s="2" t="s">
        <v>1052</v>
      </c>
      <c r="E377" s="2">
        <v>2015</v>
      </c>
      <c r="F377" s="2">
        <v>19</v>
      </c>
      <c r="G377" s="2">
        <v>6</v>
      </c>
      <c r="H377" s="2">
        <v>9</v>
      </c>
      <c r="I377" s="2">
        <v>3</v>
      </c>
      <c r="J377" s="2">
        <v>9</v>
      </c>
      <c r="K377" s="2">
        <f t="shared" ca="1" si="40"/>
        <v>11</v>
      </c>
      <c r="L377" s="2">
        <v>6</v>
      </c>
      <c r="M377" s="2">
        <v>4</v>
      </c>
      <c r="N377" s="2">
        <v>153</v>
      </c>
      <c r="O377" s="2">
        <f t="shared" ca="1" si="41"/>
        <v>0.54545454545454541</v>
      </c>
      <c r="P377" s="2">
        <f t="shared" ca="1" si="42"/>
        <v>54.97607655502393</v>
      </c>
      <c r="Q377" s="2">
        <v>4.3337000000000003</v>
      </c>
      <c r="R377" s="2">
        <f t="shared" si="43"/>
        <v>74.914210526315799</v>
      </c>
      <c r="S377" s="2">
        <v>6</v>
      </c>
      <c r="T377" s="2">
        <v>12</v>
      </c>
      <c r="U377" s="2">
        <v>23.833300000000001</v>
      </c>
      <c r="V377" s="2">
        <f t="shared" si="44"/>
        <v>11.958252380678374</v>
      </c>
      <c r="W377" s="2">
        <v>3</v>
      </c>
      <c r="X377" s="2">
        <f t="shared" si="45"/>
        <v>8.4852813742385695</v>
      </c>
      <c r="Y377" s="2">
        <v>13.5</v>
      </c>
      <c r="Z377" s="2">
        <f t="shared" si="46"/>
        <v>9</v>
      </c>
      <c r="AA377" s="2">
        <f t="shared" si="47"/>
        <v>10.344070765419191</v>
      </c>
      <c r="AB377" s="2">
        <v>17.175599999999999</v>
      </c>
      <c r="AC377" s="2">
        <v>4</v>
      </c>
      <c r="AD377" s="2">
        <v>3</v>
      </c>
      <c r="AE377" s="2">
        <v>2</v>
      </c>
      <c r="AF377" s="2">
        <v>3</v>
      </c>
      <c r="AG377" s="2">
        <v>1</v>
      </c>
    </row>
    <row r="378" spans="1:33" x14ac:dyDescent="0.3">
      <c r="A378" s="2" t="s">
        <v>35</v>
      </c>
      <c r="B378" s="2" t="s">
        <v>1054</v>
      </c>
      <c r="C378" s="2" t="s">
        <v>74</v>
      </c>
      <c r="D378" s="2" t="s">
        <v>1055</v>
      </c>
      <c r="E378" s="2">
        <v>2015</v>
      </c>
      <c r="F378" s="2">
        <v>8</v>
      </c>
      <c r="G378" s="2">
        <v>5</v>
      </c>
      <c r="H378" s="2">
        <v>0</v>
      </c>
      <c r="I378" s="2">
        <v>0</v>
      </c>
      <c r="J378" s="2">
        <v>0</v>
      </c>
      <c r="K378" s="2">
        <f t="shared" ca="1" si="40"/>
        <v>11</v>
      </c>
      <c r="L378" s="2">
        <v>5</v>
      </c>
      <c r="M378" s="2">
        <v>5</v>
      </c>
      <c r="N378" s="2">
        <v>157</v>
      </c>
      <c r="O378" s="2">
        <f t="shared" ca="1" si="41"/>
        <v>0.45454545454545453</v>
      </c>
      <c r="P378" s="2">
        <f t="shared" ca="1" si="42"/>
        <v>61.93181818181818</v>
      </c>
      <c r="Q378" s="2">
        <v>4.6298000000000004</v>
      </c>
      <c r="R378" s="2">
        <f t="shared" si="43"/>
        <v>114.12249999999999</v>
      </c>
      <c r="S378" s="2">
        <v>5</v>
      </c>
      <c r="T378" s="2">
        <v>8</v>
      </c>
      <c r="U378" s="2">
        <v>31.2</v>
      </c>
      <c r="V378" s="2">
        <f t="shared" si="44"/>
        <v>12.489995996796797</v>
      </c>
      <c r="W378" s="2">
        <v>4</v>
      </c>
      <c r="X378" s="2">
        <f t="shared" si="45"/>
        <v>6.324555320336759</v>
      </c>
      <c r="Y378" s="2">
        <v>18</v>
      </c>
      <c r="Z378" s="2">
        <f t="shared" si="46"/>
        <v>9.4868329805051381</v>
      </c>
      <c r="AA378" s="2">
        <f t="shared" si="47"/>
        <v>11.445523142259598</v>
      </c>
      <c r="AB378" s="2">
        <v>18</v>
      </c>
      <c r="AC378" s="2">
        <v>4</v>
      </c>
      <c r="AD378" s="2">
        <v>0</v>
      </c>
      <c r="AE378" s="2">
        <v>0</v>
      </c>
      <c r="AF378" s="2">
        <v>5</v>
      </c>
      <c r="AG378" s="2">
        <v>0</v>
      </c>
    </row>
    <row r="379" spans="1:33" x14ac:dyDescent="0.3">
      <c r="A379" s="2" t="s">
        <v>35</v>
      </c>
      <c r="B379" s="2" t="s">
        <v>1057</v>
      </c>
      <c r="C379" s="2" t="s">
        <v>109</v>
      </c>
      <c r="D379" s="2" t="s">
        <v>1058</v>
      </c>
      <c r="E379" s="2">
        <v>1997</v>
      </c>
      <c r="F379" s="2">
        <v>116</v>
      </c>
      <c r="G379" s="2">
        <v>9</v>
      </c>
      <c r="H379" s="2">
        <v>24</v>
      </c>
      <c r="I379" s="2">
        <v>12</v>
      </c>
      <c r="J379" s="2">
        <v>34</v>
      </c>
      <c r="K379" s="2">
        <f t="shared" ca="1" si="40"/>
        <v>29</v>
      </c>
      <c r="L379" s="2">
        <v>18</v>
      </c>
      <c r="M379" s="2">
        <v>40</v>
      </c>
      <c r="N379" s="2">
        <v>1244</v>
      </c>
      <c r="O379" s="2">
        <f t="shared" ca="1" si="41"/>
        <v>0.62068965517241381</v>
      </c>
      <c r="P379" s="2">
        <f t="shared" ca="1" si="42"/>
        <v>29.931629013079665</v>
      </c>
      <c r="Q379" s="2">
        <v>9.8070000000000004</v>
      </c>
      <c r="R379" s="2">
        <f t="shared" si="43"/>
        <v>37.850862068965519</v>
      </c>
      <c r="S379" s="2">
        <v>18</v>
      </c>
      <c r="T379" s="2">
        <v>30</v>
      </c>
      <c r="U379" s="2">
        <v>42.1111</v>
      </c>
      <c r="V379" s="2">
        <f t="shared" si="44"/>
        <v>27.531796163708609</v>
      </c>
      <c r="W379" s="2">
        <v>6</v>
      </c>
      <c r="X379" s="2">
        <f t="shared" si="45"/>
        <v>23.2379000772445</v>
      </c>
      <c r="Y379" s="2">
        <v>28</v>
      </c>
      <c r="Z379" s="2">
        <f t="shared" si="46"/>
        <v>22.449944320643649</v>
      </c>
      <c r="AA379" s="2">
        <f t="shared" si="47"/>
        <v>20.832661855845501</v>
      </c>
      <c r="AB379" s="2">
        <v>70.114199999999997</v>
      </c>
      <c r="AC379" s="2">
        <v>13</v>
      </c>
      <c r="AD379" s="2">
        <v>8</v>
      </c>
      <c r="AE379" s="2">
        <v>12</v>
      </c>
      <c r="AF379" s="2">
        <v>10</v>
      </c>
      <c r="AG379" s="2">
        <v>8</v>
      </c>
    </row>
  </sheetData>
  <autoFilter ref="A1:AG37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Jawaharlal Nehru University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Khilnani</cp:lastModifiedBy>
  <dcterms:created xsi:type="dcterms:W3CDTF">2026-08-31T05:40:14Z</dcterms:created>
  <dcterms:modified xsi:type="dcterms:W3CDTF">2026-09-15T08:31:50Z</dcterms:modified>
</cp:coreProperties>
</file>